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6"/>
  </bookViews>
  <sheets>
    <sheet name="Титул" sheetId="1" state="visible" r:id="rId3"/>
    <sheet name="Дашборд" sheetId="2" state="visible" r:id="rId4"/>
    <sheet name="Допущения" sheetId="3" state="visible" r:id="rId5"/>
    <sheet name="Выручка" sheetId="4" state="visible" r:id="rId6"/>
    <sheet name="Энергия" sheetId="5" state="visible" r:id="rId7"/>
    <sheet name="Расходы" sheetId="6" state="visible" r:id="rId8"/>
    <sheet name="ОПиУ" sheetId="7" state="visible" r:id="rId9"/>
    <sheet name="ДДС" sheetId="8" state="visible" r:id="rId10"/>
    <sheet name="Баланс" sheetId="9" state="visible" r:id="rId11"/>
    <sheet name="Сценарии" sheetId="10" state="visible" r:id="rId12"/>
    <sheet name="Показатели" sheetId="11" state="visible" r:id="rId13"/>
    <sheet name="Чувствительность" sheetId="12" state="visible" r:id="rId14"/>
    <sheet name="Команда" sheetId="13" state="visible" r:id="rId15"/>
    <sheet name="Риски" sheetId="14" state="visible" r:id="rId16"/>
    <sheet name="Защита" sheetId="15" state="visible" r:id="rId17"/>
    <sheet name="Проверки" sheetId="16" state="visible" r:id="rId18"/>
  </sheets>
  <definedNames>
    <definedName function="false" hidden="false" localSheetId="1" name="_xlnm.Print_Area" vbProcedure="false">Дашборд!$A$1:$Q$47</definedName>
    <definedName function="false" hidden="false" name="ARPU_iap" vbProcedure="false">Показатели!$D$42</definedName>
    <definedName function="false" hidden="false" name="ARPU_int" vbProcedure="false">Показатели!$D$40</definedName>
    <definedName function="false" hidden="false" name="ARPU_rew" vbProcedure="false">Показатели!$D$41</definedName>
    <definedName function="false" hidden="false" name="ARPU_ср" vbProcedure="false">Показатели!$D$43</definedName>
    <definedName function="false" hidden="false" name="BEP_MAU" vbProcedure="false">Показатели!$D$46</definedName>
    <definedName function="false" hidden="false" name="BEP_месяц" vbProcedure="false">Показатели!$D$48</definedName>
    <definedName function="false" hidden="false" name="DAU_MAU" vbProcedure="false">Допущения!$E$30</definedName>
    <definedName function="false" hidden="false" name="Debt_EBITDA" vbProcedure="false">Показатели!$D$76</definedName>
    <definedName function="false" hidden="false" name="DSCR_min" vbProcedure="false">Показатели!$D$78</definedName>
    <definedName function="false" hidden="false" name="DSCR_период" vbProcedure="false">Показатели!$D$77</definedName>
    <definedName function="false" hidden="false" name="Int_eCPM" vbProcedure="false">Допущения!$E$33</definedName>
    <definedName function="false" hidden="false" name="Int_доля" vbProcedure="false">Допущения!$E$31</definedName>
    <definedName function="false" hidden="false" name="Int_показов" vbProcedure="false">Допущения!$E$32</definedName>
    <definedName function="false" hidden="false" name="KPI_EBITDA" vbProcedure="false">Показатели!$D$8</definedName>
    <definedName function="false" hidden="false" name="KPI_EBITDA_м" vbProcedure="false">Показатели!$D$10</definedName>
    <definedName function="false" hidden="false" name="KPI_ROI" vbProcedure="false">Показатели!$D$12</definedName>
    <definedName function="false" hidden="false" name="KPI_выручка" vbProcedure="false">Показатели!$D$7</definedName>
    <definedName function="false" hidden="false" name="KPI_деньги" vbProcedure="false">Показатели!$D$14</definedName>
    <definedName function="false" hidden="false" name="KPI_мин_деньги" vbProcedure="false">Показатели!$D$15</definedName>
    <definedName function="false" hidden="false" name="KPI_мин_деньги_мес" vbProcedure="false">Показатели!$F$15</definedName>
    <definedName function="false" hidden="false" name="KPI_разрыв" vbProcedure="false">Показатели!$D$16</definedName>
    <definedName function="false" hidden="false" name="KPI_ЧП" vbProcedure="false">Показатели!$D$9</definedName>
    <definedName function="false" hidden="false" name="KPI_ЧП_м" vbProcedure="false">Показатели!$D$11</definedName>
    <definedName function="false" hidden="false" name="LTV_CAC" vbProcedure="false">Показатели!$D$73</definedName>
    <definedName function="false" hidden="false" name="PP_docx" vbProcedure="false">Показатели!$D$59</definedName>
    <definedName function="false" hidden="false" name="PP_docx_долг" vbProcedure="false">Показатели!$D$60</definedName>
    <definedName function="false" hidden="false" name="PP_docx_мес" vbProcedure="false">Показатели!$E$59</definedName>
    <definedName function="false" hidden="false" name="PP_дисконт" vbProcedure="false">Показатели!$D$62</definedName>
    <definedName function="false" hidden="false" name="PP_прибыль" vbProcedure="false">Показатели!$D$63</definedName>
    <definedName function="false" hidden="false" name="PP_прибыль_мес" vbProcedure="false">Показатели!$E$63</definedName>
    <definedName function="false" hidden="false" name="PP_проект" vbProcedure="false">Показатели!$D$61</definedName>
    <definedName function="false" hidden="false" name="PP_проект_мес" vbProcedure="false">Показатели!$E$61</definedName>
    <definedName function="false" hidden="false" name="Rew_eCPM" vbProcedure="false">Допущения!$E$35</definedName>
    <definedName function="false" hidden="false" name="Rew_просмотров" vbProcedure="false">Допущения!$E$34</definedName>
    <definedName function="false" hidden="false" name="Бух_дев" vbProcedure="false">Допущения!$E$52</definedName>
    <definedName function="false" hidden="false" name="Бух_опер" vbProcedure="false">Допущения!$F$52</definedName>
    <definedName function="false" hidden="false" name="Взнос_участника" vbProcedure="false">Допущения!$E$17</definedName>
    <definedName function="false" hidden="false" name="Взносы_вычет" vbProcedure="false">Допущения!$E$59</definedName>
    <definedName function="false" hidden="false" name="ВНД" vbProcedure="false">Показатели!$D$65</definedName>
    <definedName function="false" hidden="false" name="Дата_начала" vbProcedure="false">Допущения!$E$7</definedName>
    <definedName function="false" hidden="false" name="Дев_мес" vbProcedure="false">Выручка!$D$8</definedName>
    <definedName function="false" hidden="false" name="Дней_в_месяце" vbProcedure="false">Допущения!$E$12</definedName>
    <definedName function="false" hidden="false" name="Доли_итого" vbProcedure="false">Допущения!$E$68</definedName>
    <definedName function="false" hidden="false" name="Доля_1" vbProcedure="false">Допущения!$E$64</definedName>
    <definedName function="false" hidden="false" name="Доля_2" vbProcedure="false">Допущения!$E$65</definedName>
    <definedName function="false" hidden="false" name="Доля_3" vbProcedure="false">Допущения!$E$66</definedName>
    <definedName function="false" hidden="false" name="Доля_4" vbProcedure="false">Допущения!$E$67</definedName>
    <definedName function="false" hidden="false" name="Доходность_индекса" vbProcedure="false">Допущения!$E$75</definedName>
    <definedName function="false" hidden="false" name="Задержка_релиза" vbProcedure="false">Допущения!$E$10</definedName>
    <definedName function="false" hidden="false" name="Зп_дев" vbProcedure="false">Допущения!$E$50</definedName>
    <definedName function="false" hidden="false" name="Зп_опер" vbProcedure="false">Допущения!$F$50</definedName>
    <definedName function="false" hidden="false" name="ИД_доходности" vbProcedure="false">Показатели!$D$66</definedName>
    <definedName function="false" hidden="false" name="Комиссия_стора" vbProcedure="false">Допущения!$E$36</definedName>
    <definedName function="false" hidden="false" name="Контент_MVP" vbProcedure="false">Допущения!$E$13</definedName>
    <definedName function="false" hidden="false" name="Лаг_выручки" vbProcedure="false">Допущения!$E$37</definedName>
    <definedName function="false" hidden="false" name="Лимит_вычета" vbProcedure="false">Допущения!$E$60</definedName>
    <definedName function="false" hidden="false" name="Маркетинг_дев" vbProcedure="false">Допущения!$E$53</definedName>
    <definedName function="false" hidden="false" name="Мес_взноса" vbProcedure="false">Допущения!$E$19</definedName>
    <definedName function="false" hidden="false" name="Мес_разработки" vbProcedure="false">Допущения!$E$9</definedName>
    <definedName function="false" hidden="false" name="Месяц_релиза_текст" vbProcedure="false">Допущения!$E$11</definedName>
    <definedName function="false" hidden="false" name="Налоговый_режим" vbProcedure="false">Допущения!$E$57</definedName>
    <definedName function="false" hidden="false" name="НДФЛ_дивиденды" vbProcedure="false">Допущения!$E$61</definedName>
    <definedName function="false" hidden="false" name="Опер_мес" vbProcedure="false">Выручка!$E$8</definedName>
    <definedName function="false" hidden="false" name="План_ARPPU" vbProcedure="false">Допущения!$E$45:$P$45</definedName>
    <definedName function="false" hidden="false" name="План_MAU" vbProcedure="false">Допущения!$E$42:$P$42</definedName>
    <definedName function="false" hidden="false" name="План_rew_доля" vbProcedure="false">Допущения!$E$43:$P$43</definedName>
    <definedName function="false" hidden="false" name="План_конв" vbProcedure="false">Допущения!$E$44:$P$44</definedName>
    <definedName function="false" hidden="false" name="Пост_расходы" vbProcedure="false">Показатели!$D$37</definedName>
    <definedName function="false" hidden="false" name="Постоянные_опер" vbProcedure="false">Допущения!$F$54</definedName>
    <definedName function="false" hidden="false" name="Проект" vbProcedure="false">Допущения!$E$6</definedName>
    <definedName function="false" hidden="false" name="Серверы_дев" vbProcedure="false">Допущения!$E$51</definedName>
    <definedName function="false" hidden="false" name="Серверы_опер" vbProcedure="false">Допущения!$F$51</definedName>
    <definedName function="false" hidden="false" name="Собств_капитал" vbProcedure="false">Допущения!$E$18</definedName>
    <definedName function="false" hidden="false" name="Ставка_депозита" vbProcedure="false">Допущения!$E$74</definedName>
    <definedName function="false" hidden="false" name="Ставка_дисконта" vbProcedure="false">Допущения!$E$71</definedName>
    <definedName function="false" hidden="false" name="Ставка_УСН" vbProcedure="false">Допущения!$E$58</definedName>
    <definedName function="false" hidden="false" name="Статус_проверок" vbProcedure="false">Проверки!$D$4</definedName>
    <definedName function="false" hidden="false" name="Стресс_задержка" vbProcedure="false">Сценарии!$D$119</definedName>
    <definedName function="false" hidden="false" name="Сц_conv_ряд" vbProcedure="false">Допущения!$E$84:$H$84</definedName>
    <definedName function="false" hidden="false" name="Сц_eCPM" vbProcedure="false">Допущения!$I$83</definedName>
    <definedName function="false" hidden="false" name="Сц_ecpm_ряд" vbProcedure="false">Допущения!$E$83:$H$83</definedName>
    <definedName function="false" hidden="false" name="Сц_MAU" vbProcedure="false">Допущения!$I$82</definedName>
    <definedName function="false" hidden="false" name="Сц_mau_ряд" vbProcedure="false">Допущения!$E$82:$H$82</definedName>
    <definedName function="false" hidden="false" name="Сц_mkt_ряд" vbProcedure="false">Допущения!$E$85:$H$85</definedName>
    <definedName function="false" hidden="false" name="Сц_p_ряд" vbProcedure="false">Допущения!$E$81:$H$81</definedName>
    <definedName function="false" hidden="false" name="Сц_конв" vbProcedure="false">Допущения!$I$84</definedName>
    <definedName function="false" hidden="false" name="Сц_маркетинг" vbProcedure="false">Допущения!$I$85</definedName>
    <definedName function="false" hidden="false" name="Сц_названия" vbProcedure="false">Допущения!$E$80:$H$80</definedName>
    <definedName function="false" hidden="false" name="Сц_номер" vbProcedure="false">Допущения!$E$79</definedName>
    <definedName function="false" hidden="false" name="Сценарий" vbProcedure="false">Допущения!$E$78</definedName>
    <definedName function="false" hidden="false" name="Участников" vbProcedure="false">Допущения!$E$16</definedName>
    <definedName function="false" hidden="false" name="Финансирование" vbProcedure="false">Допущения!$E$26</definedName>
    <definedName function="false" hidden="false" name="ЧДД" vbProcedure="false">Показатели!$D$64</definedName>
    <definedName function="false" hidden="false" name="Чувств_база_ЧП" vbProcedure="false">Чувствительность!$Q$84</definedName>
    <definedName function="false" hidden="false" name="Шаг_чувств" vbProcedure="false">Чувствительность!$C$6</definedName>
    <definedName function="false" hidden="false" name="Юнит_CAC" vbProcedure="false">Допущения!$E$72</definedName>
    <definedName function="false" hidden="false" name="Юнит_LTV" vbProcedure="false">Допущения!$E$73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Модель</author>
  </authors>
  <commentList>
    <comment ref="E30" authorId="0">
      <text>
        <r>
          <rPr>
            <sz val="10"/>
            <rFont val="Arial"/>
            <family val="2"/>
          </rPr>
          <t xml:space="preserve">В docx каждый MAU видит рекламу все 30 дней месяца. На практике DAU/MAU у мобильных игр заметно ниже 100%. Попробуйте 30-50% и посмотрите на результат.</t>
        </r>
      </text>
    </comment>
    <comment ref="E36" authorId="0">
      <text>
        <r>
          <rPr>
            <sz val="10"/>
            <rFont val="Arial"/>
            <family val="2"/>
          </rPr>
          <t xml:space="preserve">RuStore: фиксированная комиссия 15% для разработчиков приложений и игр (блог RuStore для разработчиков). Поставьте 15%, чтобы учесть её.</t>
        </r>
      </text>
    </comment>
    <comment ref="E59" authorId="0">
      <text>
        <r>
          <rPr>
            <sz val="10"/>
            <rFont val="Arial"/>
            <family val="2"/>
          </rPr>
          <t xml:space="preserve">Налог docx = 6% × 984 227 - 54 000 = 5 054 ₽. Уменьшать налог на фиксированные взносы может ИП без работников. У ООО без работников вычета нет, и налог = 6% от выручки.</t>
        </r>
      </text>
    </comment>
  </commentList>
</comments>
</file>

<file path=xl/sharedStrings.xml><?xml version="1.0" encoding="utf-8"?>
<sst xmlns="http://schemas.openxmlformats.org/spreadsheetml/2006/main" count="1330" uniqueCount="780">
  <si>
    <t xml:space="preserve">Визуальная новелла на основе фольклора народов России</t>
  </si>
  <si>
    <t xml:space="preserve">Версия для защиты перед инвестором / банком / грантовым комитетом</t>
  </si>
  <si>
    <t xml:space="preserve">Ключевые параметры</t>
  </si>
  <si>
    <t xml:space="preserve">Период планирования</t>
  </si>
  <si>
    <t xml:space="preserve">Бюджет проекта</t>
  </si>
  <si>
    <t xml:space="preserve">Команда</t>
  </si>
  <si>
    <t xml:space="preserve">Контент MVP</t>
  </si>
  <si>
    <t xml:space="preserve">Релиз</t>
  </si>
  <si>
    <t xml:space="preserve">Активный сценарий</t>
  </si>
  <si>
    <t xml:space="preserve">Статус проверок модели</t>
  </si>
  <si>
    <t xml:space="preserve">Главные результаты (активный сценарий)</t>
  </si>
  <si>
    <t xml:space="preserve">Выручка за 12 мес.</t>
  </si>
  <si>
    <t xml:space="preserve">Чистая прибыль</t>
  </si>
  <si>
    <t xml:space="preserve">ROI на собственный капитал</t>
  </si>
  <si>
    <t xml:space="preserve">Точка безубыточности</t>
  </si>
  <si>
    <t xml:space="preserve">Окупаемость вложений команды</t>
  </si>
  <si>
    <t xml:space="preserve">Деньги на конец периода</t>
  </si>
  <si>
    <t xml:space="preserve">Содержание</t>
  </si>
  <si>
    <t xml:space="preserve">Ключевые цифры и графики</t>
  </si>
  <si>
    <t xml:space="preserve">Все вводные: меняйте только жёлтые ячейки с синими цифрами. Здесь же выбор сценария</t>
  </si>
  <si>
    <t xml:space="preserve">Помесячная выручка: MAU, реклама interstitial и rewarded, покупки IAP</t>
  </si>
  <si>
    <t xml:space="preserve">Операционные расходы по фазам проекта и комиссия магазина</t>
  </si>
  <si>
    <t xml:space="preserve">График кредита: льготный период и аннуитет</t>
  </si>
  <si>
    <t xml:space="preserve">Отчёт о прибылях и убытках с расчётом налога УСН</t>
  </si>
  <si>
    <t xml:space="preserve">Движение денежных средств и остаток денег</t>
  </si>
  <si>
    <t xml:space="preserve">Упрощённый баланс: проверка, что всё сходится</t>
  </si>
  <si>
    <t xml:space="preserve">Точка безубыточности, окупаемость, NPV/IRR, DSCR, юнит-экономика</t>
  </si>
  <si>
    <t xml:space="preserve">Четыре сценария полной логикой + стресс-тест задержки релиза</t>
  </si>
  <si>
    <t xml:space="preserve">Торнадо, сетка MAU × eCPM, стресс-тест DAU/MAU</t>
  </si>
  <si>
    <t xml:space="preserve">Роли, взносы и что получит каждый участник</t>
  </si>
  <si>
    <t xml:space="preserve">Матрица рисков docx с оценкой эффекта в модели</t>
  </si>
  <si>
    <t xml:space="preserve">Выводы и ответы на вопросы с живыми цифрами</t>
  </si>
  <si>
    <t xml:space="preserve">Проверки целостности, сверка с docx и что стоит поправить</t>
  </si>
  <si>
    <t xml:space="preserve">Условные обозначения</t>
  </si>
  <si>
    <t xml:space="preserve">Ввод: можно менять</t>
  </si>
  <si>
    <t xml:space="preserve">Ключевое допущение, которое стоит перепроверить</t>
  </si>
  <si>
    <t xml:space="preserve">Формула</t>
  </si>
  <si>
    <t xml:space="preserve">Ссылка на другой лист</t>
  </si>
  <si>
    <t xml:space="preserve">Отрицательные значения красным</t>
  </si>
  <si>
    <t xml:space="preserve">OK</t>
  </si>
  <si>
    <t xml:space="preserve">Проверка пройдена</t>
  </si>
  <si>
    <t xml:space="preserve">Как пользоваться</t>
  </si>
  <si>
    <t xml:space="preserve">1. Меняйте допущения на листе «Допущения»: всё остальное пересчитается само.</t>
  </si>
  <si>
    <t xml:space="preserve">2. Сценарий переключается в «Допущениях», п. 9 (выпадающий список).</t>
  </si>
  <si>
    <t xml:space="preserve">3. Лист «Проверки» показывает, что модель сходится, и где цифры отличаются от docx.</t>
  </si>
  <si>
    <t xml:space="preserve">4. Для защиты: «Дашборд» для слайдов, «Защита» для ответов на вопросы.</t>
  </si>
  <si>
    <t xml:space="preserve">Данные для графиков (ссылки на листы модели)</t>
  </si>
  <si>
    <t xml:space="preserve">ВЫРУЧКА ЗА 12 МЕС.</t>
  </si>
  <si>
    <t xml:space="preserve">EBITDA</t>
  </si>
  <si>
    <t xml:space="preserve">ЧИСТАЯ ПРИБЫЛЬ</t>
  </si>
  <si>
    <t xml:space="preserve">ДЕНЬГИ НА КОНЕЦ ПЕРИОДА</t>
  </si>
  <si>
    <t xml:space="preserve">Показатель</t>
  </si>
  <si>
    <t xml:space="preserve">Interstitial</t>
  </si>
  <si>
    <t xml:space="preserve">Rewarded</t>
  </si>
  <si>
    <t xml:space="preserve">IAP</t>
  </si>
  <si>
    <t xml:space="preserve">ROI НА СОБСТВЕННЫЙ КАПИТАЛ</t>
  </si>
  <si>
    <t xml:space="preserve">ТОЧКА БЕЗУБЫТОЧНОСТИ</t>
  </si>
  <si>
    <t xml:space="preserve">ОКУПАЕМОСТЬ ВЛОЖЕНИЙ</t>
  </si>
  <si>
    <t xml:space="preserve">ЧДД (NPV) ПРОЕКТА</t>
  </si>
  <si>
    <t xml:space="preserve">MAU</t>
  </si>
  <si>
    <t xml:space="preserve">Чистый денежный поток</t>
  </si>
  <si>
    <t xml:space="preserve">Остаток денег</t>
  </si>
  <si>
    <t xml:space="preserve">Накопленный поток проекта</t>
  </si>
  <si>
    <t xml:space="preserve">Короткая подпись месяца (для осей)</t>
  </si>
  <si>
    <t xml:space="preserve">Графики строятся по блоку данных справа (столбцы R-AD); он ссылается на листы модели.</t>
  </si>
  <si>
    <t xml:space="preserve">Допущения и вводные данные</t>
  </si>
  <si>
    <t xml:space="preserve">Меняйте только ячейки с синими цифрами на жёлтом фоне. Всё остальное считается формулами. Оранжевым выделены ключевые допущения, которые стоит перепроверить (см. лист «Проверки»).</t>
  </si>
  <si>
    <t xml:space="preserve">1. Общие параметры</t>
  </si>
  <si>
    <t xml:space="preserve">Название проекта</t>
  </si>
  <si>
    <t xml:space="preserve">«Наследие»</t>
  </si>
  <si>
    <t xml:space="preserve">Дата начала проекта</t>
  </si>
  <si>
    <t xml:space="preserve">дата</t>
  </si>
  <si>
    <t xml:space="preserve">docx: период планирования сентябрь 2026 - август 2027</t>
  </si>
  <si>
    <t xml:space="preserve">Горизонт модели</t>
  </si>
  <si>
    <t xml:space="preserve">мес.</t>
  </si>
  <si>
    <t xml:space="preserve">Модель рассчитана на 12 помесячных колонок</t>
  </si>
  <si>
    <t xml:space="preserve">Длительность разработки до релиза</t>
  </si>
  <si>
    <t xml:space="preserve">docx: разработка 4 мес., релиз в январе 2027</t>
  </si>
  <si>
    <t xml:space="preserve">Задержка релиза (стресс-тест)</t>
  </si>
  <si>
    <t xml:space="preserve">0 = по плану. Сдвигает кривую MAU и продлевает разработку</t>
  </si>
  <si>
    <t xml:space="preserve">Месяц релиза (расчёт)</t>
  </si>
  <si>
    <t xml:space="preserve">Дней в месяце (для расчёта показов рекламы)</t>
  </si>
  <si>
    <t xml:space="preserve">дн.</t>
  </si>
  <si>
    <t xml:space="preserve">docx: «пользователей × 30 дней»</t>
  </si>
  <si>
    <t xml:space="preserve">4 истории × 4 главы = 16 глав</t>
  </si>
  <si>
    <t xml:space="preserve">2. Финансирование</t>
  </si>
  <si>
    <t xml:space="preserve">Число участников команды</t>
  </si>
  <si>
    <t xml:space="preserve">чел.</t>
  </si>
  <si>
    <t xml:space="preserve">docx: команда из 4 человек</t>
  </si>
  <si>
    <t xml:space="preserve">Взнос каждого участника</t>
  </si>
  <si>
    <t xml:space="preserve">₽</t>
  </si>
  <si>
    <t xml:space="preserve">docx: по 50 000 ₽ с участника</t>
  </si>
  <si>
    <t xml:space="preserve">Собственный капитал команды</t>
  </si>
  <si>
    <t xml:space="preserve">Покрывает разработку и резерв</t>
  </si>
  <si>
    <t xml:space="preserve">Месяц внесения капитала</t>
  </si>
  <si>
    <t xml:space="preserve">№ мес.</t>
  </si>
  <si>
    <t xml:space="preserve">Кредит: банк</t>
  </si>
  <si>
    <t xml:space="preserve">Сумма кредита</t>
  </si>
  <si>
    <t xml:space="preserve">Ставка по кредиту</t>
  </si>
  <si>
    <t xml:space="preserve">% годовых</t>
  </si>
  <si>
    <t xml:space="preserve">Срок кредита</t>
  </si>
  <si>
    <t xml:space="preserve">Льготный период (только проценты)</t>
  </si>
  <si>
    <t xml:space="preserve">Месяц получения кредита</t>
  </si>
  <si>
    <t xml:space="preserve">Итого финансирование (собственные средства)</t>
  </si>
  <si>
    <t xml:space="preserve">Заёмных средств нет</t>
  </si>
  <si>
    <t xml:space="preserve">Доля собственных средств</t>
  </si>
  <si>
    <t xml:space="preserve">%</t>
  </si>
  <si>
    <t xml:space="preserve">docx: смешанная модель 50/50</t>
  </si>
  <si>
    <t xml:space="preserve">3. Аудитория и монетизация</t>
  </si>
  <si>
    <t xml:space="preserve">DAU/MAU: доля MAU, заходящих в игру каждый день</t>
  </si>
  <si>
    <t xml:space="preserve">В docx неявно 100%: показы = MAU × 30 дней. Главное допущение модели, см. «Проверки»</t>
  </si>
  <si>
    <t xml:space="preserve">Interstitial: доля пользователей, видящих рекламу</t>
  </si>
  <si>
    <t xml:space="preserve">Реклама как в презентации: обязательная, видят 90% DAU (остальные: платящие). В приложении interstitial показывается при входе в главу и при выходе из истории, не чаще раза в 30 минут. Провайдеры пока не подключены, в приложении заглушки</t>
  </si>
  <si>
    <t xml:space="preserve">Interstitial: показов в день на пользователя</t>
  </si>
  <si>
    <t xml:space="preserve">шт.</t>
  </si>
  <si>
    <t xml:space="preserve">1 показ раз в 30 минут при сессии 30 минут, около 1,5 сессии в день. Реализовано в приложении заглушкой `Ads.Interstitial`</t>
  </si>
  <si>
    <t xml:space="preserve">Interstitial: eCPM</t>
  </si>
  <si>
    <t xml:space="preserve">docx: eCPM = 100 ₽</t>
  </si>
  <si>
    <t xml:space="preserve">Rewarded: просмотров в день на смотрящего</t>
  </si>
  <si>
    <t xml:space="preserve">Ролик за награду: 3 алмаза каждые 30 минут (раздел «Награды»), +энергия в чате, спин колеса. В приложении заглушка `Ads.Rewarded`. Доля смотрящих по месяцам в п. 4</t>
  </si>
  <si>
    <t xml:space="preserve">Rewarded: eCPM</t>
  </si>
  <si>
    <t xml:space="preserve">docx: eCPM = 150 ₽</t>
  </si>
  <si>
    <t xml:space="preserve">Комиссия магазина с IAP (алмазы и энергия)</t>
  </si>
  <si>
    <t xml:space="preserve">Установка игры из RuStore бесплатна, платных загрузок нет. Комиссия магазина 15% удерживается только с покупок внутри игры</t>
  </si>
  <si>
    <t xml:space="preserve">Лаг поступления выручки на счёт</t>
  </si>
  <si>
    <t xml:space="preserve">0 = деньги приходят в месяце начисления (как в docx). Рекламные сети платят по итогам месяца</t>
  </si>
  <si>
    <t xml:space="preserve">4. План по месяцам после релиза (docx, раздел 5.2)</t>
  </si>
  <si>
    <t xml:space="preserve">Месяц после релиза</t>
  </si>
  <si>
    <t xml:space="preserve">Ед.</t>
  </si>
  <si>
    <t xml:space="preserve">Календарный месяц при текущих вводных</t>
  </si>
  <si>
    <t xml:space="preserve">MAU (активные пользователи в месяц)</t>
  </si>
  <si>
    <t xml:space="preserve">Rewarded: доля смотрящих рекламу</t>
  </si>
  <si>
    <t xml:space="preserve">IAP: конверсия в плательщиков</t>
  </si>
  <si>
    <t xml:space="preserve">IAP: средний чек (ARPPU)</t>
  </si>
  <si>
    <t xml:space="preserve">Месяцы 1-8 из docx. Месяцы 9-12 после релиза в горизонт не попадают при релизе на 5-м месяце; значения удержаны на уровне 8-го месяца и нужны, только если сократить разработку.</t>
  </si>
  <si>
    <t xml:space="preserve">5. Операционные расходы, ₽ в месяц (docx, раздел 4)</t>
  </si>
  <si>
    <t xml:space="preserve">Статья</t>
  </si>
  <si>
    <t xml:space="preserve">Месяц начала расходов</t>
  </si>
  <si>
    <t xml:space="preserve">Разработка</t>
  </si>
  <si>
    <t xml:space="preserve">Операционка</t>
  </si>
  <si>
    <t xml:space="preserve">Затраты на ИИ-сервисы</t>
  </si>
  <si>
    <t xml:space="preserve">₽/мес</t>
  </si>
  <si>
    <t xml:space="preserve">Расходы на ИИ-сервисы. Оплаты команде нет: после релиза чистая прибыль делится поровну (п. 7)</t>
  </si>
  <si>
    <t xml:space="preserve">Поддержка серверов и хостинг</t>
  </si>
  <si>
    <t xml:space="preserve">Бухгалтерия и юр. сопровождение</t>
  </si>
  <si>
    <t xml:space="preserve">Аутсорсинг, обязательные платежи (docx)</t>
  </si>
  <si>
    <t xml:space="preserve">Маркетинг и реклама (трафик, посевы)</t>
  </si>
  <si>
    <t xml:space="preserve">Итого в месяц</t>
  </si>
  <si>
    <t xml:space="preserve">docx: 37 000 ₽/мес в разработке и 52 000 ₽/мес после релиза</t>
  </si>
  <si>
    <t xml:space="preserve">6. Налоги</t>
  </si>
  <si>
    <t xml:space="preserve">Режим налогообложения</t>
  </si>
  <si>
    <t xml:space="preserve">УСН «Доходы»</t>
  </si>
  <si>
    <t xml:space="preserve">docx: УСН 6% с вычетом взносов</t>
  </si>
  <si>
    <t xml:space="preserve">Ставка УСН</t>
  </si>
  <si>
    <t xml:space="preserve">Страховые взносы, уменьшающие налог</t>
  </si>
  <si>
    <t xml:space="preserve">₽/год</t>
  </si>
  <si>
    <t xml:space="preserve">у нас ИП</t>
  </si>
  <si>
    <t xml:space="preserve">Лимит уменьшения налога на взносы</t>
  </si>
  <si>
    <t xml:space="preserve">НДФЛ с дивидендов (справочно)</t>
  </si>
  <si>
    <t xml:space="preserve">Для расчёта суммы «на руки» на листе «Команда», если прибыль выплачивается как дивиденды ООО</t>
  </si>
  <si>
    <t xml:space="preserve">7. Распределение чистой прибыли (docx, раздел 1)</t>
  </si>
  <si>
    <t xml:space="preserve">Технический разработчик</t>
  </si>
  <si>
    <t xml:space="preserve">% прибыли</t>
  </si>
  <si>
    <t xml:space="preserve">Проджект-менеджер</t>
  </si>
  <si>
    <t xml:space="preserve">Арт-директор / Сценарист</t>
  </si>
  <si>
    <t xml:space="preserve">Аналитик проекта</t>
  </si>
  <si>
    <t xml:space="preserve">Итого</t>
  </si>
  <si>
    <t xml:space="preserve">Должно быть 100%</t>
  </si>
  <si>
    <t xml:space="preserve">8. Оценка эффективности и сравнение</t>
  </si>
  <si>
    <t xml:space="preserve">Ставка дисконтирования</t>
  </si>
  <si>
    <t xml:space="preserve">Для рискованного проекта можно ставить выше: например, ключевая ставка плюс премия за риск</t>
  </si>
  <si>
    <t xml:space="preserve">CAC: стоимость привлечения пользователя</t>
  </si>
  <si>
    <t xml:space="preserve">docx: 20-25 ₽ при узкой ЦА</t>
  </si>
  <si>
    <t xml:space="preserve">LTV: доход с пользователя за время жизни</t>
  </si>
  <si>
    <t xml:space="preserve">docx: ~80 ₽. В docx не выводится расчётом</t>
  </si>
  <si>
    <t xml:space="preserve">Ставка банковского депозита</t>
  </si>
  <si>
    <t xml:space="preserve">docx: 18%. Ключевая ставка ЦБ 14% (решение от 11.09.2026)</t>
  </si>
  <si>
    <t xml:space="preserve">Доходность индекса Мосбиржи</t>
  </si>
  <si>
    <t xml:space="preserve">docx: ~15% годовых</t>
  </si>
  <si>
    <t xml:space="preserve">9. Сценарии</t>
  </si>
  <si>
    <t xml:space="preserve">Активный сценарий (выберите из списка)</t>
  </si>
  <si>
    <t xml:space="preserve">Базовый</t>
  </si>
  <si>
    <t xml:space="preserve">От выбора зависят все отчёты, показатели и дашборд</t>
  </si>
  <si>
    <t xml:space="preserve">Номер активного сценария</t>
  </si>
  <si>
    <t xml:space="preserve">Параметр сценария</t>
  </si>
  <si>
    <t xml:space="preserve">Оптимистичный</t>
  </si>
  <si>
    <t xml:space="preserve">Пессимистичный</t>
  </si>
  <si>
    <t xml:space="preserve">Пессимистичный + меры</t>
  </si>
  <si>
    <t xml:space="preserve">Активный</t>
  </si>
  <si>
    <t xml:space="preserve">Вероятность (docx)</t>
  </si>
  <si>
    <t xml:space="preserve">Множитель MAU к плану</t>
  </si>
  <si>
    <t xml:space="preserve">x</t>
  </si>
  <si>
    <t xml:space="preserve">Множитель eCPM (обе рекламные сети)</t>
  </si>
  <si>
    <t xml:space="preserve">Множитель конверсии IAP</t>
  </si>
  <si>
    <t xml:space="preserve">Маркетинг после релиза</t>
  </si>
  <si>
    <t xml:space="preserve">MAU в последнем месяце горизонта (расчёт)</t>
  </si>
  <si>
    <t xml:space="preserve">docx: MAU к августу 35 000 / 25 000 / 15 000, вероятности 25% / 50% / 25%. «Пессимистичный + меры»: сокращение маркетинга до 20 000 ₽/мес из матрицы рисков (MAU при этом не пересчитывается от бюджета). Вероятность 0%: в ожидаемое значение не входит.</t>
  </si>
  <si>
    <t xml:space="preserve">Выручка: помесячный расчёт</t>
  </si>
  <si>
    <t xml:space="preserve">₽. Логика docx, раздел 5: реклама interstitial + rewarded + внутриигровые покупки (IAP). Сценарные множители берутся из «Допущений», п. 9.</t>
  </si>
  <si>
    <t xml:space="preserve">№ месяца проекта</t>
  </si>
  <si>
    <t xml:space="preserve">Дата (начало месяца)</t>
  </si>
  <si>
    <t xml:space="preserve">Фаза</t>
  </si>
  <si>
    <t xml:space="preserve">Месяцев после релиза</t>
  </si>
  <si>
    <t xml:space="preserve">Аудитория</t>
  </si>
  <si>
    <t xml:space="preserve">MAU по плану (до сценарного множителя)</t>
  </si>
  <si>
    <t xml:space="preserve">MAU (активный сценарий)</t>
  </si>
  <si>
    <t xml:space="preserve">DAU: заходят в игру в среднем за день</t>
  </si>
  <si>
    <t xml:space="preserve">Interstitial (обязательная реклама)</t>
  </si>
  <si>
    <t xml:space="preserve">Показов в месяц</t>
  </si>
  <si>
    <t xml:space="preserve">eCPM (доход за 1000 показов)</t>
  </si>
  <si>
    <t xml:space="preserve">Доход от Interstitial</t>
  </si>
  <si>
    <t xml:space="preserve">Rewarded (реклама за вознаграждение)</t>
  </si>
  <si>
    <t xml:space="preserve">Доля смотрящих rewarded</t>
  </si>
  <si>
    <t xml:space="preserve">Просмотров в месяц</t>
  </si>
  <si>
    <t xml:space="preserve">eCPM (доход за 1000 просмотров)</t>
  </si>
  <si>
    <t xml:space="preserve">Доход от Rewarded</t>
  </si>
  <si>
    <t xml:space="preserve">IAP (внутриигровые покупки)</t>
  </si>
  <si>
    <t xml:space="preserve">Конверсия в плательщиков</t>
  </si>
  <si>
    <t xml:space="preserve">Плательщиков (округлено до целых, как в docx)</t>
  </si>
  <si>
    <t xml:space="preserve">Средний чек (ARPPU): алмазы + энергия</t>
  </si>
  <si>
    <t xml:space="preserve">Доход от IAP (алмазы и энергия)</t>
  </si>
  <si>
    <t xml:space="preserve">Доход от рекламы</t>
  </si>
  <si>
    <t xml:space="preserve">ИТОГО ВЫРУЧКА</t>
  </si>
  <si>
    <t xml:space="preserve">Доля рекламы в выручке</t>
  </si>
  <si>
    <t xml:space="preserve">ARPU: выручка на 1 MAU в месяц</t>
  </si>
  <si>
    <t xml:space="preserve">Удельные показатели базового плана (без сценарных множителей; для листов «Сценарии» и «Чувствительность»)</t>
  </si>
  <si>
    <t xml:space="preserve">Interstitial на 1 MAU (по плану)</t>
  </si>
  <si>
    <t xml:space="preserve">Rewarded на 1 MAU (по плану)</t>
  </si>
  <si>
    <t xml:space="preserve">Конверсия IAP (по плану)</t>
  </si>
  <si>
    <t xml:space="preserve">Энергия и ИИ-чат: экономика</t>
  </si>
  <si>
    <t xml:space="preserve">₽. Энергия = токены ИИ: 1 сообщение герою = 1 энергия, со 2-й главы каждой истории глава тоже тратит энергию. Продажа энергии идёт в средний чек IAP (лист «Выручка», строка 30), затраты на токены идут в «Затраты на ИИ-сервисы» (лист «Расходы», строка 12).</t>
  </si>
  <si>
    <t xml:space="preserve">Значение / Разработка</t>
  </si>
  <si>
    <t xml:space="preserve">Итого 12 мес.</t>
  </si>
  <si>
    <t xml:space="preserve">1. Вводные (меняйте жёлтые ячейки)</t>
  </si>
  <si>
    <t xml:space="preserve">Курс ₽ за $</t>
  </si>
  <si>
    <t xml:space="preserve">Допущение. Обновите по курсу ЦБ на дату защиты</t>
  </si>
  <si>
    <t xml:space="preserve">Себестоимость одного ответа героя</t>
  </si>
  <si>
    <t xml:space="preserve">$</t>
  </si>
  <si>
    <t xml:space="preserve">Замер 29.10.2026: ~3,8 тыс. токенов на входе, модель z-ai/glm-5.3-flash через OpenRouter</t>
  </si>
  <si>
    <t xml:space="preserve">Расчёт</t>
  </si>
  <si>
    <t xml:space="preserve">Доля DAU, пишущих герою в день</t>
  </si>
  <si>
    <t xml:space="preserve">Гипотеза, проверить в закрытой бете</t>
  </si>
  <si>
    <t xml:space="preserve">Сообщений в день на пишущего</t>
  </si>
  <si>
    <t xml:space="preserve">Цена сообщения</t>
  </si>
  <si>
    <t xml:space="preserve">энергии</t>
  </si>
  <si>
    <t xml:space="preserve">Как в приложении</t>
  </si>
  <si>
    <t xml:space="preserve">Цена главы (со 2-й главы истории)</t>
  </si>
  <si>
    <t xml:space="preserve">Решение: первая глава каждой истории бесплатна. В приложении пока не включено</t>
  </si>
  <si>
    <t xml:space="preserve">Пак «5 энергии»</t>
  </si>
  <si>
    <t xml:space="preserve">Цены в рублях, как будут в магазине приложений</t>
  </si>
  <si>
    <t xml:space="preserve">Пак «15 энергии»</t>
  </si>
  <si>
    <t xml:space="preserve">Пак «30 энергии» (лучшая выгода)</t>
  </si>
  <si>
    <t xml:space="preserve">Доля покупок: пак 5</t>
  </si>
  <si>
    <t xml:space="preserve">Гипотеза</t>
  </si>
  <si>
    <t xml:space="preserve">Доля покупок: пак 15</t>
  </si>
  <si>
    <t xml:space="preserve">Доля покупок: пак 30</t>
  </si>
  <si>
    <t xml:space="preserve">Гипотеза. Три доли должны давать 100%</t>
  </si>
  <si>
    <t xml:space="preserve">Средняя цена пака</t>
  </si>
  <si>
    <t xml:space="preserve">Средний размер пака</t>
  </si>
  <si>
    <t xml:space="preserve">Средняя цена одной энергии</t>
  </si>
  <si>
    <t xml:space="preserve">Доля платящих, которые покупают энергию</t>
  </si>
  <si>
    <t xml:space="preserve">Платящие = конверсия IAP (лист «Допущения», п. 4). Гипотеза</t>
  </si>
  <si>
    <t xml:space="preserve">Паков энергии в месяц на такого плательщика</t>
  </si>
  <si>
    <t xml:space="preserve">Добавка к среднему чеку IAP за энергию</t>
  </si>
  <si>
    <t xml:space="preserve">Расчёт. Уходит в лист «Выручка», строка 30</t>
  </si>
  <si>
    <t xml:space="preserve">Проверка: доли паков в сумме</t>
  </si>
  <si>
    <t xml:space="preserve">Расход энергии на пишущего игрока в месяц</t>
  </si>
  <si>
    <t xml:space="preserve">2. Помесячный расчёт (активный сценарий)</t>
  </si>
  <si>
    <t xml:space="preserve">DAU</t>
  </si>
  <si>
    <t xml:space="preserve">Пишущих герою в день</t>
  </si>
  <si>
    <t xml:space="preserve">Сообщений в месяц</t>
  </si>
  <si>
    <t xml:space="preserve">Затраты на токены чата</t>
  </si>
  <si>
    <t xml:space="preserve">Затраты на токены на 1 MAU</t>
  </si>
  <si>
    <t xml:space="preserve">Платящих всего (IAP)</t>
  </si>
  <si>
    <t xml:space="preserve">Выручка от энергии (валовая)</t>
  </si>
  <si>
    <t xml:space="preserve">Комиссия магазина с энергии</t>
  </si>
  <si>
    <t xml:space="preserve">Результат энергии: выручка − комиссия − токены</t>
  </si>
  <si>
    <t xml:space="preserve">Энергии продано</t>
  </si>
  <si>
    <t xml:space="preserve">Энергии потрачено на чат</t>
  </si>
  <si>
    <t xml:space="preserve">Покрытие токенов чата продажей энергии (после комиссии)</t>
  </si>
  <si>
    <t xml:space="preserve">раз</t>
  </si>
  <si>
    <t xml:space="preserve">Себестоимость сообщения / цена сообщения в ₽ (доля себестоимости)</t>
  </si>
  <si>
    <t xml:space="preserve">Вывод</t>
  </si>
  <si>
    <t xml:space="preserve">Операционные расходы (OpEx)</t>
  </si>
  <si>
    <t xml:space="preserve">₽. Ставки по фазам проекта задаются в «Допущениях», п. 5; маркетинг после релиза зависит от сценария.</t>
  </si>
  <si>
    <t xml:space="preserve">Операционные расходы</t>
  </si>
  <si>
    <t xml:space="preserve">Затраты на ИИ-сервисы (контент + токены чата)</t>
  </si>
  <si>
    <t xml:space="preserve">ИТОГО OpEx</t>
  </si>
  <si>
    <t xml:space="preserve">Переменные расходы</t>
  </si>
  <si>
    <t xml:space="preserve">Комиссия магазина приложений с IAP</t>
  </si>
  <si>
    <t xml:space="preserve">В docx комиссия не учтена (ставка 0%). Ставка задаётся в «Допущениях», п. 3.</t>
  </si>
  <si>
    <t xml:space="preserve">Справочно</t>
  </si>
  <si>
    <t xml:space="preserve">Доля маркетинга в OpEx</t>
  </si>
  <si>
    <t xml:space="preserve">Отчёт о прибылях и убытках (ОПиУ / P&amp;L)</t>
  </si>
  <si>
    <t xml:space="preserve">₽. Расходы со знаком минус.</t>
  </si>
  <si>
    <t xml:space="preserve">Выручка</t>
  </si>
  <si>
    <t xml:space="preserve">1. Выручка</t>
  </si>
  <si>
    <t xml:space="preserve">Комиссия магазина приложений</t>
  </si>
  <si>
    <t xml:space="preserve">2. Валовая прибыль</t>
  </si>
  <si>
    <t xml:space="preserve">Маркетинг и реклама</t>
  </si>
  <si>
    <t xml:space="preserve">3. Операционные расходы (OpEx)</t>
  </si>
  <si>
    <t xml:space="preserve">4. EBITDA (прибыль до процентов и налогов)</t>
  </si>
  <si>
    <t xml:space="preserve">Рентабельность по EBITDA</t>
  </si>
  <si>
    <t xml:space="preserve">5. Проценты по кредиту</t>
  </si>
  <si>
    <t xml:space="preserve">5. Прибыль до налогообложения</t>
  </si>
  <si>
    <t xml:space="preserve">6. Налог (УСН)</t>
  </si>
  <si>
    <t xml:space="preserve">7. ЧИСТАЯ ПРИБЫЛЬ</t>
  </si>
  <si>
    <t xml:space="preserve">Рентабельность по чистой прибыли</t>
  </si>
  <si>
    <t xml:space="preserve">Накопленная чистая прибыль</t>
  </si>
  <si>
    <t xml:space="preserve">Расчёт налога УСН «Доходы» (нарастающим итогом за календарный год)</t>
  </si>
  <si>
    <t xml:space="preserve">Налоговый год</t>
  </si>
  <si>
    <t xml:space="preserve">Поступления выручки с начала года (база УСН, кассовый метод)</t>
  </si>
  <si>
    <t xml:space="preserve">Налог по ставке с начала года</t>
  </si>
  <si>
    <t xml:space="preserve">Уменьшение на страховые взносы с начала года</t>
  </si>
  <si>
    <t xml:space="preserve">Налог к уплате с начала года</t>
  </si>
  <si>
    <t xml:space="preserve">Налог за месяц</t>
  </si>
  <si>
    <t xml:space="preserve">УСН считается по поступлениям денег (кассовый метод). Упрощения: весь годовой вычет взносов доступен с начала года; налог платится в месяце начисления (в реальности авансы поквартально). Проценты по кредиту на УСН «Доходы» налог не уменьшают.</t>
  </si>
  <si>
    <t xml:space="preserve">Отчёт о движении денежных средств (ДДС / Cash Flow)</t>
  </si>
  <si>
    <t xml:space="preserve">₽. docx, раздел 7. Поступления со знаком плюс, платежи со знаком минус.</t>
  </si>
  <si>
    <t xml:space="preserve">Поступления</t>
  </si>
  <si>
    <t xml:space="preserve">Выручка от продаж и рекламы (поступление на счёт)</t>
  </si>
  <si>
    <t xml:space="preserve">Полученный кредит</t>
  </si>
  <si>
    <t xml:space="preserve">Итого поступлений</t>
  </si>
  <si>
    <t xml:space="preserve">Платежи</t>
  </si>
  <si>
    <t xml:space="preserve">Оплата операционных расходов (OpEx)</t>
  </si>
  <si>
    <t xml:space="preserve">Оплата налогов</t>
  </si>
  <si>
    <t xml:space="preserve">Оплата процентов по кредиту</t>
  </si>
  <si>
    <t xml:space="preserve">Погашение тела кредита</t>
  </si>
  <si>
    <t xml:space="preserve">Итого платежей</t>
  </si>
  <si>
    <t xml:space="preserve">ЧИСТЫЙ ДЕНЕЖНЫЙ ПОТОК (NCF)</t>
  </si>
  <si>
    <t xml:space="preserve">Остаток денег на начало месяца</t>
  </si>
  <si>
    <t xml:space="preserve">Остаток денег на конец месяца</t>
  </si>
  <si>
    <t xml:space="preserve">Справочно: структура денежного потока</t>
  </si>
  <si>
    <t xml:space="preserve">Операционный поток (CFO)</t>
  </si>
  <si>
    <t xml:space="preserve">Финансовый поток (CFF)</t>
  </si>
  <si>
    <t xml:space="preserve">Проверка: CFO + CFF - NCF (должно быть 0)</t>
  </si>
  <si>
    <t xml:space="preserve">Поток без привлечённого финансирования (метод docx для окупаемости)</t>
  </si>
  <si>
    <t xml:space="preserve">Накопленный поток без привлечённого финансирования</t>
  </si>
  <si>
    <t xml:space="preserve">Справочно: что будет с деньгами, если выручка придёт на 1 месяц позже</t>
  </si>
  <si>
    <t xml:space="preserve">Остаток денег на конец месяца при лаге выплат +1 мес.</t>
  </si>
  <si>
    <t xml:space="preserve">Рекламные сети и магазины приложений выплачивают доход по итогам месяца. Итого: минимальный остаток.</t>
  </si>
  <si>
    <t xml:space="preserve">Остаток денег на конец месяца, если бы кредита не было</t>
  </si>
  <si>
    <t xml:space="preserve">Показывает, зачем нужен кредит: без него минимальный остаток денег (Итого) был бы таким.</t>
  </si>
  <si>
    <t xml:space="preserve">Упрощённый баланс</t>
  </si>
  <si>
    <t xml:space="preserve">₽, на конец месяца. Связывает ОПиУ и ДДС: если модель собрана верно, активы равны пассивам в каждом месяце.</t>
  </si>
  <si>
    <t xml:space="preserve">Активы</t>
  </si>
  <si>
    <t xml:space="preserve">Денежные средства</t>
  </si>
  <si>
    <t xml:space="preserve">Дебиторская задолженность (выручка к получению)</t>
  </si>
  <si>
    <t xml:space="preserve">ИТОГО АКТИВЫ</t>
  </si>
  <si>
    <t xml:space="preserve">Обязательства</t>
  </si>
  <si>
    <t xml:space="preserve">Кредит банка</t>
  </si>
  <si>
    <t xml:space="preserve">Капитал</t>
  </si>
  <si>
    <t xml:space="preserve">Вклады участников</t>
  </si>
  <si>
    <t xml:space="preserve">Нераспределённая прибыль (накопленная чистая прибыль)</t>
  </si>
  <si>
    <t xml:space="preserve">Итого капитал</t>
  </si>
  <si>
    <t xml:space="preserve">ИТОГО ПАССИВЫ</t>
  </si>
  <si>
    <t xml:space="preserve">Проверка: активы - пассивы (должно быть 0)</t>
  </si>
  <si>
    <t xml:space="preserve">Сценарный анализ (docx, раздел 10.2)</t>
  </si>
  <si>
    <t xml:space="preserve">Все четыре сценария считаются параллельно полной логикой модели. Параметры сценариев: «Допущения», п. 9.</t>
  </si>
  <si>
    <t xml:space="preserve">Показатель за 12 мес.</t>
  </si>
  <si>
    <t xml:space="preserve">Ожидаемое
(по вероятностям)</t>
  </si>
  <si>
    <t xml:space="preserve">Вероятность сценария (docx)</t>
  </si>
  <si>
    <t xml:space="preserve">MAU в последнем месяце</t>
  </si>
  <si>
    <t xml:space="preserve">Деньги на конец горизонта</t>
  </si>
  <si>
    <t xml:space="preserve">Минимальный остаток денег</t>
  </si>
  <si>
    <t xml:space="preserve">Накопленный поток без финансирования на конец</t>
  </si>
  <si>
    <t xml:space="preserve">Чистая прибыль на участника (равные доли)</t>
  </si>
  <si>
    <t xml:space="preserve">Для сравнения: цифры docx (раздел 10.2)</t>
  </si>
  <si>
    <t xml:space="preserve">docx: выручка за год</t>
  </si>
  <si>
    <t xml:space="preserve">docx: чистая прибыль</t>
  </si>
  <si>
    <t xml:space="preserve">docx: ROI</t>
  </si>
  <si>
    <t xml:space="preserve">docx: срок окупаемости</t>
  </si>
  <si>
    <t xml:space="preserve">9 мес.</t>
  </si>
  <si>
    <t xml:space="preserve">12 мес.</t>
  </si>
  <si>
    <t xml:space="preserve">14-15 мес.</t>
  </si>
  <si>
    <t xml:space="preserve">Чистая прибыль за 12 мес.</t>
  </si>
  <si>
    <t xml:space="preserve">Изменение к активному сценарию</t>
  </si>
  <si>
    <t xml:space="preserve">Помесячный расчёт по сценариям</t>
  </si>
  <si>
    <t xml:space="preserve">Доход от IAP</t>
  </si>
  <si>
    <t xml:space="preserve">Комиссия магазина</t>
  </si>
  <si>
    <t xml:space="preserve">Проценты по кредиту</t>
  </si>
  <si>
    <t xml:space="preserve">Поступления выручки с начала года (база УСН)</t>
  </si>
  <si>
    <t xml:space="preserve">Налог (УСН)</t>
  </si>
  <si>
    <t xml:space="preserve">Поступления выручки на счёт (с лагом, за вычетом комиссии)</t>
  </si>
  <si>
    <t xml:space="preserve">Точка пересечения нуля, мес. (служебная)</t>
  </si>
  <si>
    <t xml:space="preserve">Стресс-тест: задержка релиза сверх плана (на базе активного сценария)</t>
  </si>
  <si>
    <t xml:space="preserve">Дополнительная задержка релиза</t>
  </si>
  <si>
    <t xml:space="preserve">docx, риск «Задержка разработки (&gt;4 месяцев)»</t>
  </si>
  <si>
    <t xml:space="preserve">Выручка (сдвинута на задержку)</t>
  </si>
  <si>
    <t xml:space="preserve">Операционные расходы (разработка длится дольше)</t>
  </si>
  <si>
    <t xml:space="preserve">Проценты (нет)</t>
  </si>
  <si>
    <t xml:space="preserve">Поступления выручки на счёт (с лагом)</t>
  </si>
  <si>
    <t xml:space="preserve">В стресс-тесте фазы сдвинуты, поэтому здесь показан только столбец «Итого».</t>
  </si>
  <si>
    <t xml:space="preserve">Ключевые показатели и эффективность инвестиций</t>
  </si>
  <si>
    <t xml:space="preserve">1. Ключевые показатели (docx, раздел 11.1)</t>
  </si>
  <si>
    <t xml:space="preserve">Значение</t>
  </si>
  <si>
    <t xml:space="preserve">Комментарий</t>
  </si>
  <si>
    <t xml:space="preserve">docx: 984 227 ₽</t>
  </si>
  <si>
    <t xml:space="preserve">docx: 420 227 ₽</t>
  </si>
  <si>
    <t xml:space="preserve">docx: 383 625 ₽</t>
  </si>
  <si>
    <t xml:space="preserve">docx: 38,9%</t>
  </si>
  <si>
    <t xml:space="preserve">docx: 192%</t>
  </si>
  <si>
    <t xml:space="preserve">Рентабельность всех вложений (собственные + кредит)</t>
  </si>
  <si>
    <t xml:space="preserve">Денежные средства на конец горизонта</t>
  </si>
  <si>
    <t xml:space="preserve">docx: 583 625 ₽</t>
  </si>
  <si>
    <t xml:space="preserve">Минимальный остаток денежных средств</t>
  </si>
  <si>
    <t xml:space="preserve">месяц:</t>
  </si>
  <si>
    <t xml:space="preserve">Кассовый разрыв</t>
  </si>
  <si>
    <t xml:space="preserve">Точка безубыточности (EBITDA = 0)</t>
  </si>
  <si>
    <t xml:space="preserve">docx: 5 428 MAU</t>
  </si>
  <si>
    <t xml:space="preserve">Первый месяц с EBITDA ≥ 0</t>
  </si>
  <si>
    <t xml:space="preserve">docx: март 2027</t>
  </si>
  <si>
    <t xml:space="preserve">docx: 12 и 11 мес.</t>
  </si>
  <si>
    <t xml:space="preserve">Срок окупаемости проекта (поток до финансирования)</t>
  </si>
  <si>
    <t xml:space="preserve">Дисконтированный срок окупаемости</t>
  </si>
  <si>
    <t xml:space="preserve">Накопленная прибыль в плюсе (капитал команды восстановлен)</t>
  </si>
  <si>
    <t xml:space="preserve">ЧДД (NPV) проекта</t>
  </si>
  <si>
    <t xml:space="preserve">ВНД (IRR) проекта</t>
  </si>
  <si>
    <t xml:space="preserve">% год.</t>
  </si>
  <si>
    <t xml:space="preserve">Индекс доходности (PI)</t>
  </si>
  <si>
    <t xml:space="preserve">Долговая нагрузка: кредит / EBITDA</t>
  </si>
  <si>
    <t xml:space="preserve">docx: 0,48</t>
  </si>
  <si>
    <t xml:space="preserve">DSCR за период погашения</t>
  </si>
  <si>
    <t xml:space="preserve">LTV / CAC</t>
  </si>
  <si>
    <t xml:space="preserve">docx: 3,2</t>
  </si>
  <si>
    <t xml:space="preserve">2. Точка безубыточности (docx, раздел 8)</t>
  </si>
  <si>
    <t xml:space="preserve">2.1. Постоянные расходы в месяц после релиза</t>
  </si>
  <si>
    <t xml:space="preserve">Маркетинг и реклама (по сценарию)</t>
  </si>
  <si>
    <t xml:space="preserve">Затраты на ИИ-сервисы после релиза</t>
  </si>
  <si>
    <t xml:space="preserve">Итого постоянные расходы</t>
  </si>
  <si>
    <t xml:space="preserve">docx: 52 000 ₽/мес</t>
  </si>
  <si>
    <t xml:space="preserve">2.2. Доход с 1 пользователя в месяц (средние параметры за месяцы после релиза, метод docx)</t>
  </si>
  <si>
    <t xml:space="preserve">₽/MAU</t>
  </si>
  <si>
    <t xml:space="preserve">IAP (за вычетом комиссии магазина)</t>
  </si>
  <si>
    <t xml:space="preserve">Итого доход с 1 пользователя</t>
  </si>
  <si>
    <t xml:space="preserve">docx: 9,58 ₽/мес</t>
  </si>
  <si>
    <t xml:space="preserve">2.3. Точка безубыточности</t>
  </si>
  <si>
    <t xml:space="preserve">docx: 52 000 / 9,58 = 5 428 MAU</t>
  </si>
  <si>
    <t xml:space="preserve">То же с учётом средних процентов по кредиту после релиза</t>
  </si>
  <si>
    <t xml:space="preserve">Проценты не зависят от MAU, поэтому в docx их не включали</t>
  </si>
  <si>
    <t xml:space="preserve">docx: март 2027 (7-й месяц проекта, 3-й после релиза)</t>
  </si>
  <si>
    <t xml:space="preserve">MAU в этом месяце</t>
  </si>
  <si>
    <t xml:space="preserve">docx: 7 000</t>
  </si>
  <si>
    <t xml:space="preserve">2.4. Проверка для первого прибыльного месяца (docx, раздел 8.6)</t>
  </si>
  <si>
    <t xml:space="preserve">docx: 62 745 ₽</t>
  </si>
  <si>
    <t xml:space="preserve">docx: 52 000 ₽</t>
  </si>
  <si>
    <t xml:space="preserve">docx: 2 799 ₽</t>
  </si>
  <si>
    <t xml:space="preserve">Прибыль до налога</t>
  </si>
  <si>
    <t xml:space="preserve">docx: 7 946 ₽</t>
  </si>
  <si>
    <t xml:space="preserve">3. Окупаемость и эффективность инвестиций (docx, раздел 9)</t>
  </si>
  <si>
    <t xml:space="preserve">Вложения команды (собственный капитал)</t>
  </si>
  <si>
    <t xml:space="preserve">docx: 400 000 ₽</t>
  </si>
  <si>
    <t xml:space="preserve">Срок окупаемости вложений команды</t>
  </si>
  <si>
    <t xml:space="preserve">поток без привлечённых денег выходит в плюс. Это и есть окупаемость вложений команды.</t>
  </si>
  <si>
    <t xml:space="preserve">Остаток кредита на конец месяца окупаемости</t>
  </si>
  <si>
    <t xml:space="preserve">0 = к этому месяцу кредит погашен полностью</t>
  </si>
  <si>
    <t xml:space="preserve">операционный поток покрывает расходы периода разработки</t>
  </si>
  <si>
    <t xml:space="preserve">Дисконтированный срок окупаемости проекта</t>
  </si>
  <si>
    <t xml:space="preserve">Накопленная чистая прибыль выходит в плюс (капитал команды восстановлен)</t>
  </si>
  <si>
    <t xml:space="preserve">прибыль перекрыла убытки периода разработки: активы за вычетом долга снова не меньше вложений команды</t>
  </si>
  <si>
    <t xml:space="preserve">без остаточной стоимости после 12-го месяца (консервативно)</t>
  </si>
  <si>
    <t xml:space="preserve">ВНД (IRR) проекта, в пересчёте на год</t>
  </si>
  <si>
    <t xml:space="preserve">очень высокая, потому что вложения малы и окупаются внутри года; для защиты надёжнее ЧДД и срок окупаемости</t>
  </si>
  <si>
    <t xml:space="preserve">дисконтированные притоки / дисконтированные оттоки</t>
  </si>
  <si>
    <t xml:space="preserve">4. Юнит-экономика, долговая нагрузка и альтернативы</t>
  </si>
  <si>
    <t xml:space="preserve">ARPU: выручка на 1 MAU в месяц (среднее за период)</t>
  </si>
  <si>
    <t xml:space="preserve">выручка / сумма MAU по месяцам</t>
  </si>
  <si>
    <t xml:space="preserve">ARPPU: средний чек плательщика</t>
  </si>
  <si>
    <t xml:space="preserve">CAC: стоимость привлечения</t>
  </si>
  <si>
    <t xml:space="preserve">docx: 20-25 ₽</t>
  </si>
  <si>
    <t xml:space="preserve">LTV: доход с пользователя за жизнь</t>
  </si>
  <si>
    <t xml:space="preserve">docx: ~80 ₽ (задан, не рассчитан)</t>
  </si>
  <si>
    <t xml:space="preserve">Подразумеваемый срок жизни пользователя (LTV / ARPU)</t>
  </si>
  <si>
    <t xml:space="preserve">проверьте по данным удержания после релиза</t>
  </si>
  <si>
    <t xml:space="preserve">Платных установок в месяц после релиза (маркетинг / CAC)</t>
  </si>
  <si>
    <t xml:space="preserve">docx: ~1 600 установок в месяц</t>
  </si>
  <si>
    <t xml:space="preserve">Долговая нагрузка: кредит / EBITDA за 12 мес.</t>
  </si>
  <si>
    <t xml:space="preserve">docx: 0,48 (норма банков &lt; 3,0)</t>
  </si>
  <si>
    <t xml:space="preserve">DSCR за период погашения (поток / платежи по кредиту)</t>
  </si>
  <si>
    <t xml:space="preserve">банки обычно хотят не ниже 1,2-1,3</t>
  </si>
  <si>
    <t xml:space="preserve">Минимальный месячный DSCR</t>
  </si>
  <si>
    <t xml:space="preserve">в первые месяцы после релиза платежи идут из денег на счёте, а не из потока</t>
  </si>
  <si>
    <t xml:space="preserve">Сравнение с альтернативами для собственных средств команды (docx, раздел 11.2)</t>
  </si>
  <si>
    <t xml:space="preserve">Вариант вложения</t>
  </si>
  <si>
    <t xml:space="preserve">Доход за год, ₽</t>
  </si>
  <si>
    <t xml:space="preserve">Проект больше в</t>
  </si>
  <si>
    <t xml:space="preserve">docx: депозит 36 000 ₽ (в 10,7 раза меньше), индекс 30 000 ₽ (в 12,8 раза меньше). Корректнее сравнивать с учётом риска: депозит почти безрисковый, проект венчурный.</t>
  </si>
  <si>
    <t xml:space="preserve">Структура выручки</t>
  </si>
  <si>
    <t xml:space="preserve">Реклама</t>
  </si>
  <si>
    <t xml:space="preserve">docx: 842 408 ₽, 85,6%</t>
  </si>
  <si>
    <t xml:space="preserve">Внутриигровые покупки (IAP)</t>
  </si>
  <si>
    <t xml:space="preserve">docx: 141 819 ₽, 14,4%</t>
  </si>
  <si>
    <t xml:space="preserve">5. Помесячная аналитика</t>
  </si>
  <si>
    <t xml:space="preserve">Безубыточность по месяцам (docx, раздел 8.5)</t>
  </si>
  <si>
    <t xml:space="preserve">Результат: EBITDA</t>
  </si>
  <si>
    <t xml:space="preserve">Статус месяца</t>
  </si>
  <si>
    <t xml:space="preserve">Чистый доход на 1 MAU (за вычетом комиссии)</t>
  </si>
  <si>
    <t xml:space="preserve">MAU, нужный для безубыточности в этом месяце</t>
  </si>
  <si>
    <t xml:space="preserve">Запас прочности по MAU</t>
  </si>
  <si>
    <t xml:space="preserve">Флаг: EBITDA ≥ 0 после релиза</t>
  </si>
  <si>
    <t xml:space="preserve">1/0</t>
  </si>
  <si>
    <t xml:space="preserve">Окупаемость (docx, раздел 9.2)</t>
  </si>
  <si>
    <t xml:space="preserve">Поток без привлечённого финансирования (метод docx)</t>
  </si>
  <si>
    <t xml:space="preserve">Накопленный поток (метод docx)</t>
  </si>
  <si>
    <t xml:space="preserve">Статус</t>
  </si>
  <si>
    <t xml:space="preserve">Денежный поток проекта до финансирования (CFO)</t>
  </si>
  <si>
    <t xml:space="preserve">Коэффициент дисконтирования</t>
  </si>
  <si>
    <t xml:space="preserve">Дисконтированный поток проекта</t>
  </si>
  <si>
    <t xml:space="preserve">Накопленный дисконтированный поток</t>
  </si>
  <si>
    <t xml:space="preserve">Чистая прибыль месяца</t>
  </si>
  <si>
    <t xml:space="preserve">Покрытие долга</t>
  </si>
  <si>
    <t xml:space="preserve">Обслуживание долга: проценты + тело</t>
  </si>
  <si>
    <t xml:space="preserve">DSCR: операционный поток / обслуживание долга</t>
  </si>
  <si>
    <t xml:space="preserve">Сколько таких платежей покрывают деньги на счёте (до платежа)</t>
  </si>
  <si>
    <t xml:space="preserve">Анализ чувствительности</t>
  </si>
  <si>
    <t xml:space="preserve">1. Торнадо: какие допущения сильнее всего влияют на чистую прибыль</t>
  </si>
  <si>
    <t xml:space="preserve">Шаг изменения факторов</t>
  </si>
  <si>
    <t xml:space="preserve">можно поменять, например 10% или 30%</t>
  </si>
  <si>
    <t xml:space="preserve">Фактор</t>
  </si>
  <si>
    <t xml:space="preserve">Значение в модели</t>
  </si>
  <si>
    <t xml:space="preserve">База</t>
  </si>
  <si>
    <t xml:space="preserve">Δ при −шаг</t>
  </si>
  <si>
    <t xml:space="preserve">Δ при +шаг</t>
  </si>
  <si>
    <t xml:space="preserve">Размах</t>
  </si>
  <si>
    <t xml:space="preserve">MAU (аудитория, все месяцы)</t>
  </si>
  <si>
    <t xml:space="preserve">eCPM Interstitial</t>
  </si>
  <si>
    <t xml:space="preserve">eCPM Rewarded</t>
  </si>
  <si>
    <t xml:space="preserve">Конверсия в плательщиков (средняя)</t>
  </si>
  <si>
    <t xml:space="preserve">Средний чек IAP (ARPPU, средний)</t>
  </si>
  <si>
    <t xml:space="preserve">Маркетинг после релиза, ₽/мес</t>
  </si>
  <si>
    <t xml:space="preserve">Бухгалтерия и юр. сопровождение, ₽/мес</t>
  </si>
  <si>
    <t xml:space="preserve">Δ: изменение чистой прибыли к базе. Чем больше размах, тем сильнее результат зависит от фактора.</t>
  </si>
  <si>
    <t xml:space="preserve">2. Чистая прибыль при одновременном изменении MAU и eCPM</t>
  </si>
  <si>
    <t xml:space="preserve">Множители к активному сценарию. Строки: MAU; столбцы: eCPM обеих рекламных сетей.</t>
  </si>
  <si>
    <t xml:space="preserve">MAU (строки) × eCPM (столбцы)</t>
  </si>
  <si>
    <t xml:space="preserve">Центральная ячейка (1,0x × 1,0x) равна чистой прибыли активного сценария. Красный цвет: убыток.</t>
  </si>
  <si>
    <t xml:space="preserve">3. Главное допущение: сколько MAU реально видят рекламу каждый день (DAU/MAU)</t>
  </si>
  <si>
    <t xml:space="preserve">В docx каждый MAU заходит в игру все 30 дней (DAU/MAU = 100%). Ниже видно, что будет при более осторожной оценке. Значения в синих ячейках можно менять.</t>
  </si>
  <si>
    <t xml:space="preserve">DAU/MAU</t>
  </si>
  <si>
    <t xml:space="preserve">Выручка за 12 мес., ₽</t>
  </si>
  <si>
    <t xml:space="preserve">Чистая прибыль за 12 мес., ₽</t>
  </si>
  <si>
    <t xml:space="preserve">Точка безубыточности, MAU</t>
  </si>
  <si>
    <t xml:space="preserve">Расчётный блок (не редактировать): чистая прибыль при изменённых факторах; налог по поступлениям за каждый год</t>
  </si>
  <si>
    <t xml:space="preserve">Налоговый год 1</t>
  </si>
  <si>
    <t xml:space="preserve">Налоговый год 2</t>
  </si>
  <si>
    <t xml:space="preserve">Interstitial, всего за 12 мес.</t>
  </si>
  <si>
    <t xml:space="preserve">Rewarded, всего за 12 мес.</t>
  </si>
  <si>
    <t xml:space="preserve">Interstitial, поступления в году 1</t>
  </si>
  <si>
    <t xml:space="preserve">Interstitial, поступления в году 2</t>
  </si>
  <si>
    <t xml:space="preserve">Rewarded, поступления в году 1</t>
  </si>
  <si>
    <t xml:space="preserve">Rewarded, поступления в году 2</t>
  </si>
  <si>
    <t xml:space="preserve">OpEx за 12 мес.</t>
  </si>
  <si>
    <t xml:space="preserve">Маркетинг после релиза за период</t>
  </si>
  <si>
    <t xml:space="preserve">Бухгалтерия и юр. за 12 мес.</t>
  </si>
  <si>
    <t xml:space="preserve">Проценты по кредиту за 12 мес.</t>
  </si>
  <si>
    <t xml:space="preserve">Случай</t>
  </si>
  <si>
    <t xml:space="preserve">mMAU</t>
  </si>
  <si>
    <t xml:space="preserve">mINT</t>
  </si>
  <si>
    <t xml:space="preserve">mREW</t>
  </si>
  <si>
    <t xml:space="preserve">mCONV</t>
  </si>
  <si>
    <t xml:space="preserve">mARPPU</t>
  </si>
  <si>
    <t xml:space="preserve">ΔOpEx</t>
  </si>
  <si>
    <t xml:space="preserve">Поступления г1</t>
  </si>
  <si>
    <t xml:space="preserve">Поступления г2</t>
  </si>
  <si>
    <t xml:space="preserve">Налог г1</t>
  </si>
  <si>
    <t xml:space="preserve">Налог г2</t>
  </si>
  <si>
    <t xml:space="preserve">Комиссия</t>
  </si>
  <si>
    <t xml:space="preserve">База (все множители = 1)</t>
  </si>
  <si>
    <t xml:space="preserve">MAU (аудитория, все месяцы) −шаг</t>
  </si>
  <si>
    <t xml:space="preserve">MAU (аудитория, все месяцы) +шаг</t>
  </si>
  <si>
    <t xml:space="preserve">eCPM Interstitial −шаг</t>
  </si>
  <si>
    <t xml:space="preserve">eCPM Interstitial +шаг</t>
  </si>
  <si>
    <t xml:space="preserve">eCPM Rewarded −шаг</t>
  </si>
  <si>
    <t xml:space="preserve">eCPM Rewarded +шаг</t>
  </si>
  <si>
    <t xml:space="preserve">Конверсия в плательщиков (средняя) −шаг</t>
  </si>
  <si>
    <t xml:space="preserve">Конверсия в плательщиков (средняя) +шаг</t>
  </si>
  <si>
    <t xml:space="preserve">Средний чек IAP (ARPPU, средний) −шаг</t>
  </si>
  <si>
    <t xml:space="preserve">Средний чек IAP (ARPPU, средний) +шаг</t>
  </si>
  <si>
    <t xml:space="preserve">Маркетинг после релиза, ₽/мес −шаг</t>
  </si>
  <si>
    <t xml:space="preserve">Маркетинг после релиза, ₽/мес +шаг</t>
  </si>
  <si>
    <t xml:space="preserve">Бухгалтерия и юр. сопровождение, ₽/мес −шаг</t>
  </si>
  <si>
    <t xml:space="preserve">Бухгалтерия и юр. сопровождение, ₽/мес +шаг</t>
  </si>
  <si>
    <t xml:space="preserve">сетка MAU 0.6 × eCPM 0.6</t>
  </si>
  <si>
    <t xml:space="preserve">сетка MAU 0.6 × eCPM 0.8</t>
  </si>
  <si>
    <t xml:space="preserve">сетка MAU 0.6 × eCPM 1.0</t>
  </si>
  <si>
    <t xml:space="preserve">сетка MAU 0.6 × eCPM 1.2</t>
  </si>
  <si>
    <t xml:space="preserve">сетка MAU 0.6 × eCPM 1.4</t>
  </si>
  <si>
    <t xml:space="preserve">сетка MAU 0.8 × eCPM 0.6</t>
  </si>
  <si>
    <t xml:space="preserve">сетка MAU 0.8 × eCPM 0.8</t>
  </si>
  <si>
    <t xml:space="preserve">сетка MAU 0.8 × eCPM 1.0</t>
  </si>
  <si>
    <t xml:space="preserve">сетка MAU 0.8 × eCPM 1.2</t>
  </si>
  <si>
    <t xml:space="preserve">сетка MAU 0.8 × eCPM 1.4</t>
  </si>
  <si>
    <t xml:space="preserve">сетка MAU 1.0 × eCPM 0.6</t>
  </si>
  <si>
    <t xml:space="preserve">сетка MAU 1.0 × eCPM 0.8</t>
  </si>
  <si>
    <t xml:space="preserve">сетка MAU 1.0 × eCPM 1.0</t>
  </si>
  <si>
    <t xml:space="preserve">сетка MAU 1.0 × eCPM 1.2</t>
  </si>
  <si>
    <t xml:space="preserve">сетка MAU 1.0 × eCPM 1.4</t>
  </si>
  <si>
    <t xml:space="preserve">сетка MAU 1.2 × eCPM 0.6</t>
  </si>
  <si>
    <t xml:space="preserve">сетка MAU 1.2 × eCPM 0.8</t>
  </si>
  <si>
    <t xml:space="preserve">сетка MAU 1.2 × eCPM 1.0</t>
  </si>
  <si>
    <t xml:space="preserve">сетка MAU 1.2 × eCPM 1.2</t>
  </si>
  <si>
    <t xml:space="preserve">сетка MAU 1.2 × eCPM 1.4</t>
  </si>
  <si>
    <t xml:space="preserve">сетка MAU 1.4 × eCPM 0.6</t>
  </si>
  <si>
    <t xml:space="preserve">сетка MAU 1.4 × eCPM 0.8</t>
  </si>
  <si>
    <t xml:space="preserve">сетка MAU 1.4 × eCPM 1.0</t>
  </si>
  <si>
    <t xml:space="preserve">сетка MAU 1.4 × eCPM 1.2</t>
  </si>
  <si>
    <t xml:space="preserve">сетка MAU 1.4 × eCPM 1.4</t>
  </si>
  <si>
    <t xml:space="preserve">DAU/MAU 1.0</t>
  </si>
  <si>
    <t xml:space="preserve">DAU/MAU 0.75</t>
  </si>
  <si>
    <t xml:space="preserve">DAU/MAU 0.5</t>
  </si>
  <si>
    <t xml:space="preserve">DAU/MAU 0.3</t>
  </si>
  <si>
    <t xml:space="preserve">DAU/MAU 0.2</t>
  </si>
  <si>
    <t xml:space="preserve">DAU/MAU = 30% (для «Проверок»)</t>
  </si>
  <si>
    <t xml:space="preserve">Конверсия 0,5% (для «Рисков»)</t>
  </si>
  <si>
    <t xml:space="preserve">eCPM −20% (для «Рисков»)</t>
  </si>
  <si>
    <t xml:space="preserve">MAU −20% (для «Рисков»)</t>
  </si>
  <si>
    <t xml:space="preserve">Команда и распределение прибыли (docx, раздел 1)</t>
  </si>
  <si>
    <t xml:space="preserve">Проект реализуется командой из 4 человек. В период разработки команда работает на энтузиазме, чтобы минимизировать кассовые разрывы. После релиза прибыль делится поровну.</t>
  </si>
  <si>
    <t xml:space="preserve">№</t>
  </si>
  <si>
    <t xml:space="preserve">Роль</t>
  </si>
  <si>
    <t xml:space="preserve">Основные обязанности</t>
  </si>
  <si>
    <t xml:space="preserve">До релиза</t>
  </si>
  <si>
    <t xml:space="preserve">После релиза</t>
  </si>
  <si>
    <t xml:space="preserve">Взнос в капитал, ₽</t>
  </si>
  <si>
    <t xml:space="preserve">Доля прибыли</t>
  </si>
  <si>
    <t xml:space="preserve">Код (CloudCode/GPT), геймдизайн, тесты, интеграция ИИ-арта, сборка билдов</t>
  </si>
  <si>
    <t xml:space="preserve">Бесплатно (вклад в долю)</t>
  </si>
  <si>
    <t xml:space="preserve">Управление, маркетинг, SMM, PR, работа с RuStore, VK Play</t>
  </si>
  <si>
    <t xml:space="preserve">Сюжеты, промпты для ИИ, контроль визуального стиля, адаптация былин</t>
  </si>
  <si>
    <t xml:space="preserve">Финмодель, юнит-экономика, аналитика метрик, подготовка отчётов</t>
  </si>
  <si>
    <t xml:space="preserve">Как устроена оплата. До релиза никто из команды не получает оплату: все вкладывают труд и по 50 000 ₽ в капитал. Расходы на ИИ-сервисы проходят как операционные расходы проекта. После релиза чистая прибыль делится поровну, по 25%.</t>
  </si>
  <si>
    <t xml:space="preserve">Разработчик</t>
  </si>
  <si>
    <t xml:space="preserve">Арт-директор</t>
  </si>
  <si>
    <t xml:space="preserve">Аналитик</t>
  </si>
  <si>
    <t xml:space="preserve">Итого команда</t>
  </si>
  <si>
    <t xml:space="preserve">Взнос в капитал</t>
  </si>
  <si>
    <t xml:space="preserve">Оплата до релиза</t>
  </si>
  <si>
    <t xml:space="preserve">Доля чистой прибыли (до НДФЛ)</t>
  </si>
  <si>
    <t xml:space="preserve">в среднем в месяц после релиза</t>
  </si>
  <si>
    <t xml:space="preserve">НДФЛ с дивидендов, если выплата через ООО</t>
  </si>
  <si>
    <t xml:space="preserve">Доля прибыли после НДФЛ</t>
  </si>
  <si>
    <t xml:space="preserve">Итого получено: оплата + доля прибыли (до НДФЛ)</t>
  </si>
  <si>
    <t xml:space="preserve">Доля прибыли / взнос</t>
  </si>
  <si>
    <t xml:space="preserve">Оценка рисков</t>
  </si>
  <si>
    <t xml:space="preserve">Допущения модели: DAU/MAU 30%, eCPM 150 и 200 ₽, комиссия магазина 15%, ООО, проект финансируется собственными средствами. Уровень считается по формуле: вероятность × влияние.</t>
  </si>
  <si>
    <t xml:space="preserve">Риск</t>
  </si>
  <si>
    <t xml:space="preserve">Вероятность</t>
  </si>
  <si>
    <t xml:space="preserve">Влияние</t>
  </si>
  <si>
    <t xml:space="preserve">Уровень</t>
  </si>
  <si>
    <t xml:space="preserve">Митигация</t>
  </si>
  <si>
    <t xml:space="preserve">Оценка модели</t>
  </si>
  <si>
    <t xml:space="preserve">MAU ниже плана: рост до 20 000 MAU держится в основном на органике и удержании</t>
  </si>
  <si>
    <t xml:space="preserve">Высокая</t>
  </si>
  <si>
    <t xml:space="preserve">Высокое</t>
  </si>
  <si>
    <t xml:space="preserve">Закрытый бета-тест до платного трафика (D1, D7), A/B первой главы, прогрев аудитории с 3-го месяца, витрины RuStore и VK Play, тематические Telegram-каналы; при отставании сократить маркетинг до 20 000 ₽/мес</t>
  </si>
  <si>
    <t xml:space="preserve">DAU/MAU ниже 30%: меньше показов рекламы</t>
  </si>
  <si>
    <t xml:space="preserve">Средняя</t>
  </si>
  <si>
    <t xml:space="preserve">Главы раз в неделю, ежедневные награды и уведомления</t>
  </si>
  <si>
    <t xml:space="preserve">eCPM рекламы ниже заложенного (150 и 200 ₽ пока не подтверждены)</t>
  </si>
  <si>
    <t xml:space="preserve">Среднее</t>
  </si>
  <si>
    <t xml:space="preserve">Подключить 2-3 сети (Яндекс, VK, myTarget), до релиза провести тестовые кампании и подтвердить ставки, лимиты частоты показов</t>
  </si>
  <si>
    <t xml:space="preserve">Лаг выплат от рекламных сетей и магазинов: деньги приходят позже начисления</t>
  </si>
  <si>
    <t xml:space="preserve">Держать резерв не ниже минимального остатка при лаге; при необходимости сократить маркетинг до 20 000 ₽/мес и сдвинуть расходы</t>
  </si>
  <si>
    <t xml:space="preserve">Конверсия в плательщиков ниже плана (менее 0,5%)</t>
  </si>
  <si>
    <t xml:space="preserve">A/B-тестирование цен и пакетов кристаллов, увеличение эксклюзивных веток сюжета, предложения с ограничением по времени</t>
  </si>
  <si>
    <t xml:space="preserve">Реклама, рулетки и кейсы портят удержание (interstitial, баннеры, платные механики)</t>
  </si>
  <si>
    <t xml:space="preserve">Лимиты частоты, не показывать рекламу в ключевых сценах, A/B-тестирование числа показов</t>
  </si>
  <si>
    <t xml:space="preserve">Юридические риски контента: платные кейсы и рулетки, возрастная маркировка, права на ИИ-арт, чувствительность фольклорных тем</t>
  </si>
  <si>
    <t xml:space="preserve">Консультация юриста до релиза, маркировка 16+, без реальных призов за случайный результат, проверка прав на ИИ-материалы, сверка сюжетов с носителями культур и этнографами</t>
  </si>
  <si>
    <t xml:space="preserve">ИИ-сервисы дорожают или недоступны; зависимость от ключевого разработчика</t>
  </si>
  <si>
    <t xml:space="preserve">Не привязываться к одному сервису, держать запасной ручной вариант для арта и кода, зафиксировать роли и доли письменно (соглашение учредителей)</t>
  </si>
  <si>
    <t xml:space="preserve">Блокировка рекламных сетей или смена их условий</t>
  </si>
  <si>
    <t xml:space="preserve">Крайне низкая</t>
  </si>
  <si>
    <t xml:space="preserve">Все сети российские (Яндекс, VK), работают легально; подключить минимум две</t>
  </si>
  <si>
    <t xml:space="preserve">Строка про DAU/MAU = 100% из прошлой версии снята: в модели теперь 30%, а риск пересмотрен в строке 2. Сроки, суммы и проценты в столбце «Оценка модели» обновляются вместе с допущениями.</t>
  </si>
  <si>
    <t xml:space="preserve">Выводы и шпаргалка для устной защиты</t>
  </si>
  <si>
    <t xml:space="preserve">Цифры в текстах берутся из модели и обновляются вместе с допущениями.</t>
  </si>
  <si>
    <t xml:space="preserve">Итоговый вывод об экономической целесообразности</t>
  </si>
  <si>
    <t xml:space="preserve">5. Нематериальные выгоды: опыт запуска продукта, портфолио, доступ к грантам (Минкультуры, ПФКИ, президентские гранты).</t>
  </si>
  <si>
    <t xml:space="preserve">Нематериальные выгоды</t>
  </si>
  <si>
    <t xml:space="preserve">1. Опыт и компетенции: команда получает опыт запуска продукта, который можно монетизировать в будущих проектах.</t>
  </si>
  <si>
    <t xml:space="preserve">2. Портфолио: успешный проект повышает стоимость команды на рынке труда.</t>
  </si>
  <si>
    <t xml:space="preserve">4. Культурная ценность: проект основан на фольклоре народов России, есть потенциал для грантов Минкультуры, ПФКИ, президентских грантов.</t>
  </si>
  <si>
    <t xml:space="preserve">Шпаргалка для устной защиты</t>
  </si>
  <si>
    <t xml:space="preserve">1.</t>
  </si>
  <si>
    <t xml:space="preserve">2.</t>
  </si>
  <si>
    <t xml:space="preserve">3.</t>
  </si>
  <si>
    <t xml:space="preserve">4.</t>
  </si>
  <si>
    <t xml:space="preserve">5.</t>
  </si>
  <si>
    <t xml:space="preserve">6.</t>
  </si>
  <si>
    <t xml:space="preserve">7.</t>
  </si>
  <si>
    <t xml:space="preserve">8.</t>
  </si>
  <si>
    <t xml:space="preserve">9.</t>
  </si>
  <si>
    <t xml:space="preserve">10.</t>
  </si>
  <si>
    <t xml:space="preserve">11.</t>
  </si>
  <si>
    <t xml:space="preserve">Проверки модели и сверка с docx</t>
  </si>
  <si>
    <t xml:space="preserve">Статус:</t>
  </si>
  <si>
    <t xml:space="preserve">1. Целостность модели</t>
  </si>
  <si>
    <t xml:space="preserve">Проверка</t>
  </si>
  <si>
    <t xml:space="preserve">Что проверяет</t>
  </si>
  <si>
    <t xml:space="preserve">Баланс сходится во всех месяцах (сумма |активы - пассивы|)</t>
  </si>
  <si>
    <t xml:space="preserve">ОПиУ, ДДС и баланс связаны без потерь</t>
  </si>
  <si>
    <t xml:space="preserve">ДДС: операционный + финансовый поток = чистый поток</t>
  </si>
  <si>
    <t xml:space="preserve">классификация потоков полная</t>
  </si>
  <si>
    <t xml:space="preserve">Остаток денег в ДДС = денежные средства в балансе</t>
  </si>
  <si>
    <t xml:space="preserve">Выручка в ОПиУ = выручке на листе «Выручка»</t>
  </si>
  <si>
    <t xml:space="preserve">Остаток денег: начало месяца + поток = конец (сумма отклонений)</t>
  </si>
  <si>
    <t xml:space="preserve">движение денег согласовано по месяцам</t>
  </si>
  <si>
    <t xml:space="preserve">Сценарии: блок активного сценария = основной модели (чистая прибыль)</t>
  </si>
  <si>
    <t xml:space="preserve">параллельный расчёт сценариев не расходится с отчётами</t>
  </si>
  <si>
    <t xml:space="preserve">Сценарии: блок активного сценария = основной модели (деньги на конец)</t>
  </si>
  <si>
    <t xml:space="preserve">Чувствительность: базовый расчёт = основной модели</t>
  </si>
  <si>
    <t xml:space="preserve">расчётный блок чувствительности откалиброван</t>
  </si>
  <si>
    <t xml:space="preserve">Доли участников в сумме 100%</t>
  </si>
  <si>
    <t xml:space="preserve">Вероятности трёх сценариев docx в сумме 100%</t>
  </si>
  <si>
    <t xml:space="preserve">Кассовый разрыв: минимальный остаток денег не ниже нуля (предупреждение)</t>
  </si>
  <si>
    <t xml:space="preserve">если остаток уходит в минус, нужен больший резерв или меньше расходов</t>
  </si>
  <si>
    <t xml:space="preserve">2. Сверка с docx (исходные допущения документа, сценарий «Базовый»)</t>
  </si>
  <si>
    <t xml:space="preserve">Показатель (раздел docx)</t>
  </si>
  <si>
    <t xml:space="preserve">docx</t>
  </si>
  <si>
    <t xml:space="preserve">Модель</t>
  </si>
  <si>
    <t xml:space="preserve">Разница</t>
  </si>
  <si>
    <t xml:space="preserve">Аннуитетный платёж, ₽ (3)</t>
  </si>
  <si>
    <t xml:space="preserve">docx округлил платёж вверх (точно 27 106 ₽), из-за этого сумма погашений в docx 200 033 ₽</t>
  </si>
  <si>
    <t xml:space="preserve">Проценты по кредиту за 12 мес., ₽ (3, 6)</t>
  </si>
  <si>
    <t xml:space="preserve">в строках docx 31 515 ₽, в итоге 31 548 ₽; модель считает точно</t>
  </si>
  <si>
    <t xml:space="preserve">OpEx за год, ₽ (4)</t>
  </si>
  <si>
    <t xml:space="preserve">OpEx в период разработки, ₽ (4)</t>
  </si>
  <si>
    <t xml:space="preserve">OpEx после релиза, ₽ (4)</t>
  </si>
  <si>
    <t xml:space="preserve">Выручка Interstitial, ₽ (5.2)</t>
  </si>
  <si>
    <t xml:space="preserve">Выручка Rewarded, ₽ (5.2)</t>
  </si>
  <si>
    <t xml:space="preserve">Выручка IAP, ₽ (5.2)</t>
  </si>
  <si>
    <t xml:space="preserve">плательщики округлены до целых, как в docx</t>
  </si>
  <si>
    <t xml:space="preserve">Выручка итого, ₽ (5.2)</t>
  </si>
  <si>
    <t xml:space="preserve">Доля рекламы в выручке (5.2)</t>
  </si>
  <si>
    <t xml:space="preserve">EBITDA, ₽ (6)</t>
  </si>
  <si>
    <t xml:space="preserve">Прибыль до налога, ₽ (6)</t>
  </si>
  <si>
    <t xml:space="preserve">разница только из-за округления процентов</t>
  </si>
  <si>
    <t xml:space="preserve">Налог УСН, ₽ (6)</t>
  </si>
  <si>
    <t xml:space="preserve">6% × выручка - 54 000 ₽ взносов</t>
  </si>
  <si>
    <t xml:space="preserve">Чистая прибыль, ₽ (6)</t>
  </si>
  <si>
    <t xml:space="preserve">Деньги на конец горизонта, ₽ (7)</t>
  </si>
  <si>
    <t xml:space="preserve">Точка безубыточности, MAU (8.4)</t>
  </si>
  <si>
    <t xml:space="preserve">docx брал округлённые средние (0,85% и 139 ₽), модель берёт точные</t>
  </si>
  <si>
    <t xml:space="preserve">Первый месяц с EBITDA ≥ 0 (8.5)</t>
  </si>
  <si>
    <t xml:space="preserve">Мар 2027</t>
  </si>
  <si>
    <t xml:space="preserve">Накопленный поток без финансирования на конец, ₽ (9.2)</t>
  </si>
  <si>
    <t xml:space="preserve">Полный срок окупаемости, мес. проекта (9.3)</t>
  </si>
  <si>
    <t xml:space="preserve">поток без привлечённых денег выходит в плюс</t>
  </si>
  <si>
    <t xml:space="preserve">Срок окупаемости собственного капитала, мес. (9.3)</t>
  </si>
  <si>
    <t xml:space="preserve">ROI на собственный капитал (11.1)</t>
  </si>
  <si>
    <t xml:space="preserve">Рентабельность по чистой прибыли (11.1)</t>
  </si>
  <si>
    <t xml:space="preserve">38,98%: docx округлил вниз</t>
  </si>
  <si>
    <t xml:space="preserve">Долговая нагрузка кредит / EBITDA (11.1)</t>
  </si>
  <si>
    <t xml:space="preserve">Чистая прибыль на участника, ₽ (6)</t>
  </si>
  <si>
    <t xml:space="preserve">Оптимистичный сценарий: чистая прибыль, ₽ (10.2)</t>
  </si>
  <si>
    <t xml:space="preserve">docx оценивал на глаз и занижал; полная логика при MAU +40%</t>
  </si>
  <si>
    <t xml:space="preserve">Пессимистичный сценарий: чистая прибыль, ₽ (10.2)</t>
  </si>
  <si>
    <t xml:space="preserve">Пессимистичный сценарий: ROI (10.2)</t>
  </si>
  <si>
    <t xml:space="preserve">3. Что стоит поправить или обосновать (по убыванию важности)</t>
  </si>
  <si>
    <t xml:space="preserve">Тема</t>
  </si>
  <si>
    <t xml:space="preserve">Что показывает модель и где поменять</t>
  </si>
  <si>
    <t xml:space="preserve">Органический рост MAU и юнит-экономика</t>
  </si>
  <si>
    <t xml:space="preserve">DAU/MAU = 30%</t>
  </si>
  <si>
    <t xml:space="preserve">eCPM 150 и 200 ₽ выше, чем в первой версии (100 и 150 ₽)</t>
  </si>
  <si>
    <t xml:space="preserve">Rewarded: доля смотрящих и просмотры в день</t>
  </si>
  <si>
    <t xml:space="preserve">Лаг выплат равен нулю</t>
  </si>
  <si>
    <t xml:space="preserve">Задержка релиза</t>
  </si>
  <si>
    <t xml:space="preserve">Налоговый режим и форма бизнеса</t>
  </si>
  <si>
    <t xml:space="preserve">Расходы, которых нет в модели</t>
  </si>
  <si>
    <t xml:space="preserve">ИИ-сервисы и оплата команды</t>
  </si>
  <si>
    <t xml:space="preserve">Финансирование и резерв</t>
  </si>
  <si>
    <t xml:space="preserve">  </t>
  </si>
  <si>
    <t xml:space="preserve">Комиссия магазина и платежи</t>
  </si>
  <si>
    <t xml:space="preserve">Сверка с docx (раздел 2)</t>
  </si>
  <si>
    <t xml:space="preserve">Старые примечания в «Допущениях» и «Показателях»</t>
  </si>
  <si>
    <t xml:space="preserve">Часть пояснений в «Допущениях» и «Показателях» содержит справочные цифры из исходного документа (docx). Они ничего не считают. Подписи, которые вводили в заблуждение (маркетинг «40 000 ₽/мес», «Зарплата разработчика», «Мемяц»), исправлены.</t>
  </si>
  <si>
    <t xml:space="preserve">Ошибки проверок 6 и 7 (исправлено)</t>
  </si>
  <si>
    <t xml:space="preserve">Блок «Сценарии» считал маркетинг до релиза за все 4 месяца (40 000 ₽), а лист «Расходы» с 3-го месяца (20 000 ₽), как задано в «Допущениях». Разница 20 000 ₽ попадала и в прибыль, и в деньги. Теперь сценарии берут маркетинг с листа «Расходы». Заодно месяц старта каждой статьи расходов («Допущения», п. 5) теперь действует для всех четырёх статей: сервера считаются со 2-го месяца, как задано (раньше с 1-го, плюс 2 000 ₽).</t>
  </si>
  <si>
    <t xml:space="preserve">Источники фактов: комиссия RuStore 15% (блог RuStore для разработчиков); правила монетизации RuStore с 01.02.2026 (vc.ru); ключевая ставка 14% (cbr.ru, решение от 11.09.2026); взносы ИП на 2025-2027 (buh.ru).</t>
  </si>
</sst>
</file>

<file path=xl/styles.xml><?xml version="1.0" encoding="utf-8"?>
<styleSheet xmlns="http://schemas.openxmlformats.org/spreadsheetml/2006/main">
  <numFmts count="26">
    <numFmt numFmtId="164" formatCode="General"/>
    <numFmt numFmtId="165" formatCode="#,##0;[RED]\-#,##0;\-"/>
    <numFmt numFmtId="166" formatCode="#,##0&quot; ₽&quot;;[RED]\-#,##0&quot; ₽&quot;;&quot;0 ₽&quot;"/>
    <numFmt numFmtId="167" formatCode="0%"/>
    <numFmt numFmtId="168" formatCode="#,##0"/>
    <numFmt numFmtId="169" formatCode="dd\.mm\.yyyy"/>
    <numFmt numFmtId="170" formatCode="0"/>
    <numFmt numFmtId="171" formatCode="0.0%"/>
    <numFmt numFmtId="172" formatCode="0.0"/>
    <numFmt numFmtId="173" formatCode="0.00%"/>
    <numFmt numFmtId="174" formatCode="0.0#\x"/>
    <numFmt numFmtId="175" formatCode="mm\.yyyy"/>
    <numFmt numFmtId="176" formatCode="0.0%;[RED]\-0.0%;\-"/>
    <numFmt numFmtId="177" formatCode="0.00%;[RED]\-0.00%;\-"/>
    <numFmt numFmtId="178" formatCode="#,##0.00;[RED]\-#,##0.00;\-"/>
    <numFmt numFmtId="179" formatCode="#,##0.00"/>
    <numFmt numFmtId="180" formatCode="0.0000"/>
    <numFmt numFmtId="181" formatCode="0.000"/>
    <numFmt numFmtId="182" formatCode="0.00"/>
    <numFmt numFmtId="183" formatCode="0.0&quot; мес.&quot;"/>
    <numFmt numFmtId="184" formatCode="0.00\x"/>
    <numFmt numFmtId="185" formatCode="0.0\x"/>
    <numFmt numFmtId="186" formatCode="0.00\x;[RED]\-0.00\x"/>
    <numFmt numFmtId="187" formatCode="0.0\x;[RED]\-0.0\x"/>
    <numFmt numFmtId="188" formatCode="#,##0.00;[RED]\-#,##0.00;\0"/>
    <numFmt numFmtId="189" formatCode="#,##0.0;[RED]\-#,##0.0;\-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3864"/>
      <name val="Arial"/>
      <family val="0"/>
      <charset val="1"/>
    </font>
    <font>
      <sz val="12"/>
      <color rgb="FF40404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sz val="8.5"/>
      <color rgb="FF59595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C65911"/>
      <name val="Arial"/>
      <family val="0"/>
      <charset val="1"/>
    </font>
    <font>
      <sz val="8"/>
      <color rgb="FF808080"/>
      <name val="Arial"/>
      <family val="0"/>
      <charset val="1"/>
    </font>
    <font>
      <sz val="10"/>
      <color rgb="FF5B7FD6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6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9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2"/>
      <color rgb="FF000000"/>
      <name val="Calibri"/>
      <family val="2"/>
    </font>
    <font>
      <sz val="9"/>
      <color rgb="FF000000"/>
      <name val="Calibri"/>
      <family val="2"/>
    </font>
    <font>
      <b val="true"/>
      <sz val="11"/>
      <color rgb="FF00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D9E2F3"/>
        <bgColor rgb="FFDDEBF7"/>
      </patternFill>
    </fill>
    <fill>
      <patternFill patternType="solid">
        <fgColor rgb="FFFFF2CC"/>
        <bgColor rgb="FFFFF9E6"/>
      </patternFill>
    </fill>
    <fill>
      <patternFill patternType="solid">
        <fgColor rgb="FFFFD966"/>
        <bgColor rgb="FFFFEB9C"/>
      </patternFill>
    </fill>
    <fill>
      <patternFill patternType="solid">
        <fgColor rgb="FFC6EFCE"/>
        <bgColor rgb="FFE2F0D9"/>
      </patternFill>
    </fill>
    <fill>
      <patternFill patternType="solid">
        <fgColor rgb="FFEEF3FA"/>
        <bgColor rgb="FFF2F2F2"/>
      </patternFill>
    </fill>
    <fill>
      <patternFill patternType="solid">
        <fgColor rgb="FFFFF9E6"/>
        <bgColor rgb="FFFFFFFF"/>
      </patternFill>
    </fill>
    <fill>
      <patternFill patternType="solid">
        <fgColor rgb="FFF2F2F2"/>
        <bgColor rgb="FFEEF3FA"/>
      </patternFill>
    </fill>
    <fill>
      <patternFill patternType="solid">
        <fgColor rgb="FFDDEBF7"/>
        <bgColor rgb="FFD9E2F3"/>
      </patternFill>
    </fill>
    <fill>
      <patternFill patternType="solid">
        <fgColor rgb="FFC00000"/>
        <bgColor rgb="FF9C0006"/>
      </patternFill>
    </fill>
    <fill>
      <patternFill patternType="solid">
        <fgColor rgb="FF00B050"/>
        <bgColor rgb="FF00A3A3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/>
      <diagonal/>
    </border>
    <border diagonalUp="false" diagonalDown="false">
      <left style="thin">
        <color rgb="FFB4C6E7"/>
      </left>
      <right style="thin">
        <color rgb="FFB4C6E7"/>
      </right>
      <top/>
      <bottom/>
      <diagonal/>
    </border>
    <border diagonalUp="false" diagonalDown="false"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 diagonalUp="false" diagonalDown="false">
      <left/>
      <right/>
      <top style="thin">
        <color rgb="FF404040"/>
      </top>
      <bottom/>
      <diagonal/>
    </border>
    <border diagonalUp="false" diagonalDown="false">
      <left/>
      <right/>
      <top style="thin">
        <color rgb="FF404040"/>
      </top>
      <bottom style="double">
        <color rgb="FF404040"/>
      </bottom>
      <diagonal/>
    </border>
    <border diagonalUp="false" diagonalDown="false">
      <left/>
      <right/>
      <top/>
      <bottom style="hair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7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17" fillId="7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8" fillId="7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7" fillId="7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7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1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0" fontId="11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1" fontId="11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1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1" fontId="11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1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11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1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25" fillId="8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1" fontId="25" fillId="8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3" fontId="11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3" fontId="25" fillId="8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8" fillId="0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1" fontId="8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11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8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8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8" fillId="9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0" fontId="2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5" fontId="2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1" shrinkToFit="false"/>
      <protection locked="true" hidden="false"/>
    </xf>
    <xf numFmtId="17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1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1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8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8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8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7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9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9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9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1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8" fillId="9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6" fontId="9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8" fillId="9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3" fontId="9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3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6" fontId="3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6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6" fontId="8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3" fontId="8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4" fontId="8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5" fontId="8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78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8" fontId="8" fillId="0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8" fillId="1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83" fontId="8" fillId="1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83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6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84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85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86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8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1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9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12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2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1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1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81" fontId="1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0" fontId="9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2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1" fontId="8" fillId="0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6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true">
      <alignment horizontal="general" vertical="bottom" textRotation="0" wrapText="false" indent="1" shrinkToFit="false"/>
      <protection locked="true" hidden="false"/>
    </xf>
    <xf numFmtId="164" fontId="8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3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9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3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6" fontId="11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6" fontId="12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11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12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9" fontId="9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3" fontId="11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3" fontId="12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4" fontId="11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4" fontId="12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4" fontId="9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8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8" fillId="12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12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12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9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name val="Arial"/>
        <charset val="1"/>
        <family val="0"/>
        <b val="1"/>
        <color rgb="FFC00000"/>
        <sz val="18"/>
      </font>
    </dxf>
    <dxf>
      <font>
        <name val="Arial"/>
        <charset val="1"/>
        <family val="0"/>
        <b val="1"/>
        <color rgb="FFC00000"/>
        <sz val="18"/>
      </font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E2F0D9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D966"/>
      <rgbColor rgb="FFFF00FF"/>
      <rgbColor rgb="FFE2F0D9"/>
      <rgbColor rgb="FF9C0006"/>
      <rgbColor rgb="FF008000"/>
      <rgbColor rgb="FF000080"/>
      <rgbColor rgb="FF7F7F7F"/>
      <rgbColor rgb="FF800080"/>
      <rgbColor rgb="FF00A3A3"/>
      <rgbColor rgb="FFBFBFBF"/>
      <rgbColor rgb="FF808080"/>
      <rgbColor rgb="FFA5A5A5"/>
      <rgbColor rgb="FF7030A0"/>
      <rgbColor rgb="FFFFF9E6"/>
      <rgbColor rgb="FFDDEBF7"/>
      <rgbColor rgb="FF660066"/>
      <rgbColor rgb="FFD9D9D9"/>
      <rgbColor rgb="FF0563C1"/>
      <rgbColor rgb="FFB4C6E7"/>
      <rgbColor rgb="FF000080"/>
      <rgbColor rgb="FFFF00FF"/>
      <rgbColor rgb="FFFFF2CC"/>
      <rgbColor rgb="FFF2F2F2"/>
      <rgbColor rgb="FF800080"/>
      <rgbColor rgb="FF800000"/>
      <rgbColor rgb="FF2E75B6"/>
      <rgbColor rgb="FF0000FF"/>
      <rgbColor rgb="FFD9E2F3"/>
      <rgbColor rgb="FFEEF3FA"/>
      <rgbColor rgb="FFC6EFCE"/>
      <rgbColor rgb="FFFFEB9C"/>
      <rgbColor rgb="FF9DC3E6"/>
      <rgbColor rgb="FFF4B183"/>
      <rgbColor rgb="FFA6A6A6"/>
      <rgbColor rgb="FFFFC7CE"/>
      <rgbColor rgb="FF4472C4"/>
      <rgbColor rgb="FF5B9BD5"/>
      <rgbColor rgb="FF70AD47"/>
      <rgbColor rgb="FFFFC000"/>
      <rgbColor rgb="FFE0E0E0"/>
      <rgbColor rgb="FFED7D31"/>
      <rgbColor rgb="FF595959"/>
      <rgbColor rgb="FF878787"/>
      <rgbColor rgb="FF1F3864"/>
      <rgbColor rgb="FF00B050"/>
      <rgbColor rgb="FF003300"/>
      <rgbColor rgb="FF333300"/>
      <rgbColor rgb="FFC65911"/>
      <rgbColor rgb="FF993366"/>
      <rgbColor rgb="FF5B7FD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lang="ru-RU" sz="1800" strike="noStrike" u="none">
                <a:solidFill>
                  <a:srgbClr val="000000"/>
                </a:solidFill>
                <a:uFillTx/>
                <a:latin typeface="Calibri"/>
              </a:rPr>
              <a:t>Выручка по источникам, ₽, и </a:t>
            </a:r>
            <a:r>
              <a:rPr b="1" lang="en-US" sz="1800" strike="noStrike" u="none">
                <a:solidFill>
                  <a:srgbClr val="000000"/>
                </a:solidFill>
                <a:uFillTx/>
                <a:latin typeface="Calibri"/>
              </a:rPr>
              <a:t>MAU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Дашборд!$R$6</c:f>
              <c:strCache>
                <c:ptCount val="1"/>
                <c:pt idx="0">
                  <c:v>Interstitial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>
                  <a:solidFill>
                    <a:srgbClr val="1f3864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Дашборд!$S$15:$AD$15</c:f>
              <c:strCache>
                <c:ptCount val="12"/>
                <c:pt idx="0">
                  <c:v>Сен 26</c:v>
                </c:pt>
                <c:pt idx="1">
                  <c:v>Окт 26</c:v>
                </c:pt>
                <c:pt idx="2">
                  <c:v>Ноя 26</c:v>
                </c:pt>
                <c:pt idx="3">
                  <c:v>Дек 26</c:v>
                </c:pt>
                <c:pt idx="4">
                  <c:v>Янв 27</c:v>
                </c:pt>
                <c:pt idx="5">
                  <c:v>Фев 27</c:v>
                </c:pt>
                <c:pt idx="6">
                  <c:v>Мар 27</c:v>
                </c:pt>
                <c:pt idx="7">
                  <c:v>Апр 27</c:v>
                </c:pt>
                <c:pt idx="8">
                  <c:v>Май 27</c:v>
                </c:pt>
                <c:pt idx="9">
                  <c:v>Июн 27</c:v>
                </c:pt>
                <c:pt idx="10">
                  <c:v>Июл 27</c:v>
                </c:pt>
                <c:pt idx="11">
                  <c:v>Авг 27</c:v>
                </c:pt>
              </c:strCache>
            </c:strRef>
          </c:cat>
          <c:val>
            <c:numRef>
              <c:f>Дашборд!$S$6:$AD$6</c:f>
              <c:numCache>
                <c:formatCode>#,##0;[RED]\-#,##0;\-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2733.75</c:v>
                </c:pt>
                <c:pt idx="5">
                  <c:v>5467.5</c:v>
                </c:pt>
                <c:pt idx="6">
                  <c:v>9112.5</c:v>
                </c:pt>
                <c:pt idx="7">
                  <c:v>12757.5</c:v>
                </c:pt>
                <c:pt idx="8">
                  <c:v>16402.5</c:v>
                </c:pt>
                <c:pt idx="9">
                  <c:v>21870</c:v>
                </c:pt>
                <c:pt idx="10">
                  <c:v>29160</c:v>
                </c:pt>
                <c:pt idx="11">
                  <c:v>36450</c:v>
                </c:pt>
              </c:numCache>
            </c:numRef>
          </c:val>
        </c:ser>
        <c:ser>
          <c:idx val="1"/>
          <c:order val="1"/>
          <c:tx>
            <c:strRef>
              <c:f>Дашборд!$R$7</c:f>
              <c:strCache>
                <c:ptCount val="1"/>
                <c:pt idx="0">
                  <c:v>Rewarded</c:v>
                </c:pt>
              </c:strCache>
            </c:strRef>
          </c:tx>
          <c:spPr>
            <a:solidFill>
              <a:srgbClr val="5b9bd5"/>
            </a:solidFill>
            <a:ln w="0">
              <a:solidFill>
                <a:srgbClr val="5b9bd5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>
                  <a:solidFill>
                    <a:srgbClr val="5b9bd5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Дашборд!$S$15:$AD$15</c:f>
              <c:strCache>
                <c:ptCount val="12"/>
                <c:pt idx="0">
                  <c:v>Сен 26</c:v>
                </c:pt>
                <c:pt idx="1">
                  <c:v>Окт 26</c:v>
                </c:pt>
                <c:pt idx="2">
                  <c:v>Ноя 26</c:v>
                </c:pt>
                <c:pt idx="3">
                  <c:v>Дек 26</c:v>
                </c:pt>
                <c:pt idx="4">
                  <c:v>Янв 27</c:v>
                </c:pt>
                <c:pt idx="5">
                  <c:v>Фев 27</c:v>
                </c:pt>
                <c:pt idx="6">
                  <c:v>Мар 27</c:v>
                </c:pt>
                <c:pt idx="7">
                  <c:v>Апр 27</c:v>
                </c:pt>
                <c:pt idx="8">
                  <c:v>Май 27</c:v>
                </c:pt>
                <c:pt idx="9">
                  <c:v>Июн 27</c:v>
                </c:pt>
                <c:pt idx="10">
                  <c:v>Июл 27</c:v>
                </c:pt>
                <c:pt idx="11">
                  <c:v>Авг 27</c:v>
                </c:pt>
              </c:strCache>
            </c:strRef>
          </c:cat>
          <c:val>
            <c:numRef>
              <c:f>Дашборд!$S$7:$AD$7</c:f>
              <c:numCache>
                <c:formatCode>#,##0;[RED]\-#,##0;\-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4320</c:v>
                </c:pt>
                <c:pt idx="5">
                  <c:v>8748</c:v>
                </c:pt>
                <c:pt idx="6">
                  <c:v>14940</c:v>
                </c:pt>
                <c:pt idx="7">
                  <c:v>21420</c:v>
                </c:pt>
                <c:pt idx="8">
                  <c:v>27864</c:v>
                </c:pt>
                <c:pt idx="9">
                  <c:v>37584</c:v>
                </c:pt>
                <c:pt idx="10">
                  <c:v>50688</c:v>
                </c:pt>
                <c:pt idx="11">
                  <c:v>64800</c:v>
                </c:pt>
              </c:numCache>
            </c:numRef>
          </c:val>
        </c:ser>
        <c:ser>
          <c:idx val="2"/>
          <c:order val="2"/>
          <c:tx>
            <c:strRef>
              <c:f>Дашборд!$R$8</c:f>
              <c:strCache>
                <c:ptCount val="1"/>
                <c:pt idx="0">
                  <c:v>IAP</c:v>
                </c:pt>
              </c:strCache>
            </c:strRef>
          </c:tx>
          <c:spPr>
            <a:solidFill>
              <a:srgbClr val="f4b183"/>
            </a:solidFill>
            <a:ln w="0">
              <a:solidFill>
                <a:srgbClr val="f4b183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>
                  <a:solidFill>
                    <a:srgbClr val="f4b183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Дашборд!$S$15:$AD$15</c:f>
              <c:strCache>
                <c:ptCount val="12"/>
                <c:pt idx="0">
                  <c:v>Сен 26</c:v>
                </c:pt>
                <c:pt idx="1">
                  <c:v>Окт 26</c:v>
                </c:pt>
                <c:pt idx="2">
                  <c:v>Ноя 26</c:v>
                </c:pt>
                <c:pt idx="3">
                  <c:v>Дек 26</c:v>
                </c:pt>
                <c:pt idx="4">
                  <c:v>Янв 27</c:v>
                </c:pt>
                <c:pt idx="5">
                  <c:v>Фев 27</c:v>
                </c:pt>
                <c:pt idx="6">
                  <c:v>Мар 27</c:v>
                </c:pt>
                <c:pt idx="7">
                  <c:v>Апр 27</c:v>
                </c:pt>
                <c:pt idx="8">
                  <c:v>Май 27</c:v>
                </c:pt>
                <c:pt idx="9">
                  <c:v>Июн 27</c:v>
                </c:pt>
                <c:pt idx="10">
                  <c:v>Июл 27</c:v>
                </c:pt>
                <c:pt idx="11">
                  <c:v>Авг 27</c:v>
                </c:pt>
              </c:strCache>
            </c:strRef>
          </c:cat>
          <c:val>
            <c:numRef>
              <c:f>Дашборд!$S$8:$AD$8</c:f>
              <c:numCache>
                <c:formatCode>#,##0;[RED]\-#,##0;\-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3251.6</c:v>
                </c:pt>
                <c:pt idx="5">
                  <c:v>7163.2</c:v>
                </c:pt>
                <c:pt idx="6">
                  <c:v>12752.8</c:v>
                </c:pt>
                <c:pt idx="7">
                  <c:v>19353.6</c:v>
                </c:pt>
                <c:pt idx="8">
                  <c:v>27381.2</c:v>
                </c:pt>
                <c:pt idx="9">
                  <c:v>40564.8</c:v>
                </c:pt>
                <c:pt idx="10">
                  <c:v>58611.2</c:v>
                </c:pt>
                <c:pt idx="11">
                  <c:v>79120</c:v>
                </c:pt>
              </c:numCache>
            </c:numRef>
          </c:val>
        </c:ser>
        <c:gapWidth val="50"/>
        <c:overlap val="100"/>
        <c:axId val="95462947"/>
        <c:axId val="55964327"/>
      </c:barChart>
      <c:lineChart>
        <c:grouping val="stacked"/>
        <c:varyColors val="0"/>
        <c:ser>
          <c:idx val="3"/>
          <c:order val="3"/>
          <c:tx>
            <c:strRef>
              <c:f>Дашборд!$R$9</c:f>
              <c:strCache>
                <c:ptCount val="1"/>
                <c:pt idx="0">
                  <c:v>MAU</c:v>
                </c:pt>
              </c:strCache>
            </c:strRef>
          </c:tx>
          <c:spPr>
            <a:solidFill>
              <a:srgbClr val="70ad47"/>
            </a:solidFill>
            <a:ln w="28080">
              <a:solidFill>
                <a:srgbClr val="70ad47"/>
              </a:solidFill>
              <a:round/>
            </a:ln>
          </c:spPr>
          <c:marker>
            <c:symbol val="circle"/>
            <c:size val="5"/>
            <c:spPr>
              <a:solidFill>
                <a:srgbClr val="70ad47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Дашборд!$S$15:$AD$15</c:f>
              <c:strCache>
                <c:ptCount val="12"/>
                <c:pt idx="0">
                  <c:v>Сен 26</c:v>
                </c:pt>
                <c:pt idx="1">
                  <c:v>Окт 26</c:v>
                </c:pt>
                <c:pt idx="2">
                  <c:v>Ноя 26</c:v>
                </c:pt>
                <c:pt idx="3">
                  <c:v>Дек 26</c:v>
                </c:pt>
                <c:pt idx="4">
                  <c:v>Янв 27</c:v>
                </c:pt>
                <c:pt idx="5">
                  <c:v>Фев 27</c:v>
                </c:pt>
                <c:pt idx="6">
                  <c:v>Мар 27</c:v>
                </c:pt>
                <c:pt idx="7">
                  <c:v>Апр 27</c:v>
                </c:pt>
                <c:pt idx="8">
                  <c:v>Май 27</c:v>
                </c:pt>
                <c:pt idx="9">
                  <c:v>Июн 27</c:v>
                </c:pt>
                <c:pt idx="10">
                  <c:v>Июл 27</c:v>
                </c:pt>
                <c:pt idx="11">
                  <c:v>Авг 27</c:v>
                </c:pt>
              </c:strCache>
            </c:strRef>
          </c:cat>
          <c:val>
            <c:numRef>
              <c:f>Дашборд!$S$9:$AD$9</c:f>
              <c:numCache>
                <c:formatCode>#,##0;[RED]\-#,##0;\-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1500</c:v>
                </c:pt>
                <c:pt idx="5">
                  <c:v>3000</c:v>
                </c:pt>
                <c:pt idx="6">
                  <c:v>5000</c:v>
                </c:pt>
                <c:pt idx="7">
                  <c:v>7000</c:v>
                </c:pt>
                <c:pt idx="8">
                  <c:v>9000</c:v>
                </c:pt>
                <c:pt idx="9">
                  <c:v>12000</c:v>
                </c:pt>
                <c:pt idx="10">
                  <c:v>16000</c:v>
                </c:pt>
                <c:pt idx="11">
                  <c:v>20000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4935685"/>
        <c:axId val="10743639"/>
      </c:lineChart>
      <c:catAx>
        <c:axId val="954629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964327"/>
        <c:crosses val="autoZero"/>
        <c:auto val="1"/>
        <c:lblAlgn val="ctr"/>
        <c:lblOffset val="100"/>
        <c:noMultiLvlLbl val="0"/>
      </c:catAx>
      <c:valAx>
        <c:axId val="55964327"/>
        <c:scaling>
          <c:orientation val="minMax"/>
        </c:scaling>
        <c:delete val="0"/>
        <c:axPos val="l"/>
        <c:majorGridlines>
          <c:spPr>
            <a:ln w="9360">
              <a:solidFill>
                <a:srgbClr val="e0e0e0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462947"/>
        <c:crosses val="autoZero"/>
        <c:crossBetween val="between"/>
      </c:valAx>
      <c:catAx>
        <c:axId val="44935685"/>
        <c:scaling>
          <c:orientation val="minMax"/>
        </c:scaling>
        <c:delete val="0"/>
        <c:axPos val="t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743639"/>
        <c:crosses val="autoZero"/>
        <c:auto val="1"/>
        <c:lblAlgn val="ctr"/>
        <c:lblOffset val="100"/>
        <c:noMultiLvlLbl val="0"/>
      </c:catAx>
      <c:valAx>
        <c:axId val="10743639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en-US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MAU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935685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1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lang="ru-RU" sz="1800" strike="noStrike" u="none">
                <a:solidFill>
                  <a:srgbClr val="000000"/>
                </a:solidFill>
                <a:uFillTx/>
                <a:latin typeface="Calibri"/>
              </a:rPr>
              <a:t>Денежный поток и остаток денег, ₽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Дашборд!$R$12</c:f>
              <c:strCache>
                <c:ptCount val="1"/>
                <c:pt idx="0">
                  <c:v>Чистый денежный поток</c:v>
                </c:pt>
              </c:strCache>
            </c:strRef>
          </c:tx>
          <c:spPr>
            <a:solidFill>
              <a:srgbClr val="9dc3e6"/>
            </a:solidFill>
            <a:ln w="0">
              <a:solidFill>
                <a:srgbClr val="9dc3e6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>
                  <a:solidFill>
                    <a:srgbClr val="9dc3e6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Дашборд!$S$15:$AD$15</c:f>
              <c:strCache>
                <c:ptCount val="12"/>
                <c:pt idx="0">
                  <c:v>Сен 26</c:v>
                </c:pt>
                <c:pt idx="1">
                  <c:v>Окт 26</c:v>
                </c:pt>
                <c:pt idx="2">
                  <c:v>Ноя 26</c:v>
                </c:pt>
                <c:pt idx="3">
                  <c:v>Дек 26</c:v>
                </c:pt>
                <c:pt idx="4">
                  <c:v>Янв 27</c:v>
                </c:pt>
                <c:pt idx="5">
                  <c:v>Фев 27</c:v>
                </c:pt>
                <c:pt idx="6">
                  <c:v>Мар 27</c:v>
                </c:pt>
                <c:pt idx="7">
                  <c:v>Апр 27</c:v>
                </c:pt>
                <c:pt idx="8">
                  <c:v>Май 27</c:v>
                </c:pt>
                <c:pt idx="9">
                  <c:v>Июн 27</c:v>
                </c:pt>
                <c:pt idx="10">
                  <c:v>Июл 27</c:v>
                </c:pt>
                <c:pt idx="11">
                  <c:v>Авг 27</c:v>
                </c:pt>
              </c:strCache>
            </c:strRef>
          </c:cat>
          <c:val>
            <c:numRef>
              <c:f>Дашборд!$S$12:$AD$12</c:f>
              <c:numCache>
                <c:formatCode>#,##0;[RED]\-#,##0;\-</c:formatCode>
                <c:ptCount val="12"/>
                <c:pt idx="0">
                  <c:v>196000</c:v>
                </c:pt>
                <c:pt idx="1">
                  <c:v>-6000</c:v>
                </c:pt>
                <c:pt idx="2">
                  <c:v>-16000</c:v>
                </c:pt>
                <c:pt idx="3">
                  <c:v>-26000</c:v>
                </c:pt>
                <c:pt idx="4">
                  <c:v>-37093.64</c:v>
                </c:pt>
                <c:pt idx="5">
                  <c:v>-27518.28</c:v>
                </c:pt>
                <c:pt idx="6">
                  <c:v>-14145.12</c:v>
                </c:pt>
                <c:pt idx="7">
                  <c:v>375.560000000005</c:v>
                </c:pt>
                <c:pt idx="8">
                  <c:v>16073.02</c:v>
                </c:pt>
                <c:pt idx="9">
                  <c:v>40644.08</c:v>
                </c:pt>
                <c:pt idx="10">
                  <c:v>73947.52</c:v>
                </c:pt>
                <c:pt idx="11">
                  <c:v>110352</c:v>
                </c:pt>
              </c:numCache>
            </c:numRef>
          </c:val>
        </c:ser>
        <c:gapWidth val="60"/>
        <c:overlap val="0"/>
        <c:axId val="48478510"/>
        <c:axId val="61247143"/>
      </c:barChart>
      <c:lineChart>
        <c:grouping val="standard"/>
        <c:varyColors val="0"/>
        <c:ser>
          <c:idx val="1"/>
          <c:order val="1"/>
          <c:tx>
            <c:strRef>
              <c:f>Дашборд!$R$13</c:f>
              <c:strCache>
                <c:ptCount val="1"/>
                <c:pt idx="0">
                  <c:v>Остаток денег</c:v>
                </c:pt>
              </c:strCache>
            </c:strRef>
          </c:tx>
          <c:spPr>
            <a:solidFill>
              <a:srgbClr val="1f3864"/>
            </a:solidFill>
            <a:ln w="28080">
              <a:solidFill>
                <a:srgbClr val="1f3864"/>
              </a:solidFill>
              <a:round/>
            </a:ln>
          </c:spPr>
          <c:marker>
            <c:symbol val="circle"/>
            <c:size val="5"/>
            <c:spPr>
              <a:solidFill>
                <a:srgbClr val="1f3864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Дашборд!$S$15:$AD$15</c:f>
              <c:strCache>
                <c:ptCount val="12"/>
                <c:pt idx="0">
                  <c:v>Сен 26</c:v>
                </c:pt>
                <c:pt idx="1">
                  <c:v>Окт 26</c:v>
                </c:pt>
                <c:pt idx="2">
                  <c:v>Ноя 26</c:v>
                </c:pt>
                <c:pt idx="3">
                  <c:v>Дек 26</c:v>
                </c:pt>
                <c:pt idx="4">
                  <c:v>Янв 27</c:v>
                </c:pt>
                <c:pt idx="5">
                  <c:v>Фев 27</c:v>
                </c:pt>
                <c:pt idx="6">
                  <c:v>Мар 27</c:v>
                </c:pt>
                <c:pt idx="7">
                  <c:v>Апр 27</c:v>
                </c:pt>
                <c:pt idx="8">
                  <c:v>Май 27</c:v>
                </c:pt>
                <c:pt idx="9">
                  <c:v>Июн 27</c:v>
                </c:pt>
                <c:pt idx="10">
                  <c:v>Июл 27</c:v>
                </c:pt>
                <c:pt idx="11">
                  <c:v>Авг 27</c:v>
                </c:pt>
              </c:strCache>
            </c:strRef>
          </c:cat>
          <c:val>
            <c:numRef>
              <c:f>Дашборд!$S$13:$AD$13</c:f>
              <c:numCache>
                <c:formatCode>#,##0;[RED]\-#,##0;\-</c:formatCode>
                <c:ptCount val="12"/>
                <c:pt idx="0">
                  <c:v>196000</c:v>
                </c:pt>
                <c:pt idx="1">
                  <c:v>190000</c:v>
                </c:pt>
                <c:pt idx="2">
                  <c:v>174000</c:v>
                </c:pt>
                <c:pt idx="3">
                  <c:v>148000</c:v>
                </c:pt>
                <c:pt idx="4">
                  <c:v>110906.36</c:v>
                </c:pt>
                <c:pt idx="5">
                  <c:v>83388.08</c:v>
                </c:pt>
                <c:pt idx="6">
                  <c:v>69242.96</c:v>
                </c:pt>
                <c:pt idx="7">
                  <c:v>69618.52</c:v>
                </c:pt>
                <c:pt idx="8">
                  <c:v>85691.54</c:v>
                </c:pt>
                <c:pt idx="9">
                  <c:v>126335.62</c:v>
                </c:pt>
                <c:pt idx="10">
                  <c:v>200283.14</c:v>
                </c:pt>
                <c:pt idx="11">
                  <c:v>310635.14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8478510"/>
        <c:axId val="61247143"/>
      </c:lineChart>
      <c:catAx>
        <c:axId val="484785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247143"/>
        <c:crosses val="autoZero"/>
        <c:auto val="1"/>
        <c:lblAlgn val="ctr"/>
        <c:lblOffset val="100"/>
        <c:noMultiLvlLbl val="0"/>
      </c:catAx>
      <c:valAx>
        <c:axId val="61247143"/>
        <c:scaling>
          <c:orientation val="minMax"/>
        </c:scaling>
        <c:delete val="0"/>
        <c:axPos val="l"/>
        <c:majorGridlines>
          <c:spPr>
            <a:ln w="9360">
              <a:solidFill>
                <a:srgbClr val="e0e0e0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47851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1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lang="en-US" sz="1800" strike="noStrike" u="none">
                <a:solidFill>
                  <a:srgbClr val="000000"/>
                </a:solidFill>
                <a:uFillTx/>
                <a:latin typeface="Calibri"/>
              </a:rPr>
              <a:t>EBITDA </a:t>
            </a:r>
            <a:r>
              <a:rPr b="1" lang="ru-RU" sz="1800" strike="noStrike" u="none">
                <a:solidFill>
                  <a:srgbClr val="000000"/>
                </a:solidFill>
                <a:uFillTx/>
                <a:latin typeface="Calibri"/>
              </a:rPr>
              <a:t>и чистая прибыль, ₽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Дашборд!$R$10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9dc3e6"/>
            </a:solidFill>
            <a:ln w="0">
              <a:solidFill>
                <a:srgbClr val="9dc3e6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>
                  <a:solidFill>
                    <a:srgbClr val="9dc3e6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Дашборд!$S$15:$AD$15</c:f>
              <c:strCache>
                <c:ptCount val="12"/>
                <c:pt idx="0">
                  <c:v>Сен 26</c:v>
                </c:pt>
                <c:pt idx="1">
                  <c:v>Окт 26</c:v>
                </c:pt>
                <c:pt idx="2">
                  <c:v>Ноя 26</c:v>
                </c:pt>
                <c:pt idx="3">
                  <c:v>Дек 26</c:v>
                </c:pt>
                <c:pt idx="4">
                  <c:v>Янв 27</c:v>
                </c:pt>
                <c:pt idx="5">
                  <c:v>Фев 27</c:v>
                </c:pt>
                <c:pt idx="6">
                  <c:v>Мар 27</c:v>
                </c:pt>
                <c:pt idx="7">
                  <c:v>Апр 27</c:v>
                </c:pt>
                <c:pt idx="8">
                  <c:v>Май 27</c:v>
                </c:pt>
                <c:pt idx="9">
                  <c:v>Июн 27</c:v>
                </c:pt>
                <c:pt idx="10">
                  <c:v>Июл 27</c:v>
                </c:pt>
                <c:pt idx="11">
                  <c:v>Авг 27</c:v>
                </c:pt>
              </c:strCache>
            </c:strRef>
          </c:cat>
          <c:val>
            <c:numRef>
              <c:f>Дашборд!$S$10:$AD$10</c:f>
              <c:numCache>
                <c:formatCode>#,##0;[RED]\-#,##0;\-</c:formatCode>
                <c:ptCount val="12"/>
                <c:pt idx="0">
                  <c:v>-4000</c:v>
                </c:pt>
                <c:pt idx="1">
                  <c:v>-6000</c:v>
                </c:pt>
                <c:pt idx="2">
                  <c:v>-16000</c:v>
                </c:pt>
                <c:pt idx="3">
                  <c:v>-26000</c:v>
                </c:pt>
                <c:pt idx="4">
                  <c:v>-37093.64</c:v>
                </c:pt>
                <c:pt idx="5">
                  <c:v>-27518.28</c:v>
                </c:pt>
                <c:pt idx="6">
                  <c:v>-14145.12</c:v>
                </c:pt>
                <c:pt idx="7">
                  <c:v>375.560000000005</c:v>
                </c:pt>
                <c:pt idx="8">
                  <c:v>16073.02</c:v>
                </c:pt>
                <c:pt idx="9">
                  <c:v>40644.08</c:v>
                </c:pt>
                <c:pt idx="10">
                  <c:v>73947.52</c:v>
                </c:pt>
                <c:pt idx="11">
                  <c:v>110352</c:v>
                </c:pt>
              </c:numCache>
            </c:numRef>
          </c:val>
        </c:ser>
        <c:ser>
          <c:idx val="1"/>
          <c:order val="1"/>
          <c:tx>
            <c:strRef>
              <c:f>Дашборд!$R$11</c:f>
              <c:strCache>
                <c:ptCount val="1"/>
                <c:pt idx="0">
                  <c:v>Чистая прибыль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>
                  <a:solidFill>
                    <a:srgbClr val="1f3864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Дашборд!$S$15:$AD$15</c:f>
              <c:strCache>
                <c:ptCount val="12"/>
                <c:pt idx="0">
                  <c:v>Сен 26</c:v>
                </c:pt>
                <c:pt idx="1">
                  <c:v>Окт 26</c:v>
                </c:pt>
                <c:pt idx="2">
                  <c:v>Ноя 26</c:v>
                </c:pt>
                <c:pt idx="3">
                  <c:v>Дек 26</c:v>
                </c:pt>
                <c:pt idx="4">
                  <c:v>Янв 27</c:v>
                </c:pt>
                <c:pt idx="5">
                  <c:v>Фев 27</c:v>
                </c:pt>
                <c:pt idx="6">
                  <c:v>Мар 27</c:v>
                </c:pt>
                <c:pt idx="7">
                  <c:v>Апр 27</c:v>
                </c:pt>
                <c:pt idx="8">
                  <c:v>Май 27</c:v>
                </c:pt>
                <c:pt idx="9">
                  <c:v>Июн 27</c:v>
                </c:pt>
                <c:pt idx="10">
                  <c:v>Июл 27</c:v>
                </c:pt>
                <c:pt idx="11">
                  <c:v>Авг 27</c:v>
                </c:pt>
              </c:strCache>
            </c:strRef>
          </c:cat>
          <c:val>
            <c:numRef>
              <c:f>Дашборд!$S$11:$AD$11</c:f>
              <c:numCache>
                <c:formatCode>#,##0;[RED]\-#,##0;\-</c:formatCode>
                <c:ptCount val="12"/>
                <c:pt idx="0">
                  <c:v>-4000</c:v>
                </c:pt>
                <c:pt idx="1">
                  <c:v>-6000</c:v>
                </c:pt>
                <c:pt idx="2">
                  <c:v>-16000</c:v>
                </c:pt>
                <c:pt idx="3">
                  <c:v>-26000</c:v>
                </c:pt>
                <c:pt idx="4">
                  <c:v>-37093.64</c:v>
                </c:pt>
                <c:pt idx="5">
                  <c:v>-27518.28</c:v>
                </c:pt>
                <c:pt idx="6">
                  <c:v>-14145.12</c:v>
                </c:pt>
                <c:pt idx="7">
                  <c:v>375.560000000005</c:v>
                </c:pt>
                <c:pt idx="8">
                  <c:v>16073.02</c:v>
                </c:pt>
                <c:pt idx="9">
                  <c:v>40644.08</c:v>
                </c:pt>
                <c:pt idx="10">
                  <c:v>73947.52</c:v>
                </c:pt>
                <c:pt idx="11">
                  <c:v>110352</c:v>
                </c:pt>
              </c:numCache>
            </c:numRef>
          </c:val>
        </c:ser>
        <c:gapWidth val="60"/>
        <c:overlap val="0"/>
        <c:axId val="75208797"/>
        <c:axId val="22495213"/>
      </c:barChart>
      <c:catAx>
        <c:axId val="7520879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495213"/>
        <c:crosses val="autoZero"/>
        <c:auto val="1"/>
        <c:lblAlgn val="ctr"/>
        <c:lblOffset val="100"/>
        <c:noMultiLvlLbl val="0"/>
      </c:catAx>
      <c:valAx>
        <c:axId val="22495213"/>
        <c:scaling>
          <c:orientation val="minMax"/>
        </c:scaling>
        <c:delete val="0"/>
        <c:axPos val="l"/>
        <c:majorGridlines>
          <c:spPr>
            <a:ln w="9360">
              <a:solidFill>
                <a:srgbClr val="e0e0e0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20879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1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lang="ru-RU" sz="1800" strike="noStrike" u="none">
                <a:solidFill>
                  <a:srgbClr val="000000"/>
                </a:solidFill>
                <a:uFillTx/>
                <a:latin typeface="Calibri"/>
              </a:rPr>
              <a:t>Окупаемость: накопленные потоки, ₽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8972052296989"/>
          <c:y val="0.0489338099346728"/>
          <c:w val="0.867638239174763"/>
          <c:h val="0.826081597436214"/>
        </c:manualLayout>
      </c:layout>
      <c:lineChart>
        <c:grouping val="standard"/>
        <c:varyColors val="0"/>
        <c:ser>
          <c:idx val="0"/>
          <c:order val="0"/>
          <c:tx>
            <c:strRef>
              <c:f>Дашборд!$R$14</c:f>
              <c:strCache>
                <c:ptCount val="1"/>
                <c:pt idx="0">
                  <c:v>Накопленный поток проекта</c:v>
                </c:pt>
              </c:strCache>
            </c:strRef>
          </c:tx>
          <c:spPr>
            <a:solidFill>
              <a:srgbClr val="1f3864"/>
            </a:solidFill>
            <a:ln w="28080">
              <a:solidFill>
                <a:srgbClr val="1f3864"/>
              </a:solidFill>
              <a:round/>
            </a:ln>
          </c:spPr>
          <c:marker>
            <c:symbol val="circle"/>
            <c:size val="5"/>
            <c:spPr>
              <a:solidFill>
                <a:srgbClr val="1f3864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Дашборд!$S$15:$AD$15</c:f>
              <c:strCache>
                <c:ptCount val="12"/>
                <c:pt idx="0">
                  <c:v>Сен 26</c:v>
                </c:pt>
                <c:pt idx="1">
                  <c:v>Окт 26</c:v>
                </c:pt>
                <c:pt idx="2">
                  <c:v>Ноя 26</c:v>
                </c:pt>
                <c:pt idx="3">
                  <c:v>Дек 26</c:v>
                </c:pt>
                <c:pt idx="4">
                  <c:v>Янв 27</c:v>
                </c:pt>
                <c:pt idx="5">
                  <c:v>Фев 27</c:v>
                </c:pt>
                <c:pt idx="6">
                  <c:v>Мар 27</c:v>
                </c:pt>
                <c:pt idx="7">
                  <c:v>Апр 27</c:v>
                </c:pt>
                <c:pt idx="8">
                  <c:v>Май 27</c:v>
                </c:pt>
                <c:pt idx="9">
                  <c:v>Июн 27</c:v>
                </c:pt>
                <c:pt idx="10">
                  <c:v>Июл 27</c:v>
                </c:pt>
                <c:pt idx="11">
                  <c:v>Авг 27</c:v>
                </c:pt>
              </c:strCache>
            </c:strRef>
          </c:cat>
          <c:val>
            <c:numRef>
              <c:f>Дашборд!$S$14:$AD$14</c:f>
              <c:numCache>
                <c:formatCode>#,##0;[RED]\-#,##0;\-</c:formatCode>
                <c:ptCount val="12"/>
                <c:pt idx="0">
                  <c:v>-4000</c:v>
                </c:pt>
                <c:pt idx="1">
                  <c:v>-10000</c:v>
                </c:pt>
                <c:pt idx="2">
                  <c:v>-26000</c:v>
                </c:pt>
                <c:pt idx="3">
                  <c:v>-52000</c:v>
                </c:pt>
                <c:pt idx="4">
                  <c:v>-89093.64</c:v>
                </c:pt>
                <c:pt idx="5">
                  <c:v>-116611.92</c:v>
                </c:pt>
                <c:pt idx="6">
                  <c:v>-130757.04</c:v>
                </c:pt>
                <c:pt idx="7">
                  <c:v>-130381.48</c:v>
                </c:pt>
                <c:pt idx="8">
                  <c:v>-114308.46</c:v>
                </c:pt>
                <c:pt idx="9">
                  <c:v>-73664.38</c:v>
                </c:pt>
                <c:pt idx="10">
                  <c:v>283.140000000029</c:v>
                </c:pt>
                <c:pt idx="11">
                  <c:v>110635.14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2486570"/>
        <c:axId val="49441474"/>
      </c:lineChart>
      <c:catAx>
        <c:axId val="12486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441474"/>
        <c:crosses val="autoZero"/>
        <c:auto val="1"/>
        <c:lblAlgn val="ctr"/>
        <c:lblOffset val="100"/>
        <c:noMultiLvlLbl val="0"/>
      </c:catAx>
      <c:valAx>
        <c:axId val="49441474"/>
        <c:scaling>
          <c:orientation val="minMax"/>
        </c:scaling>
        <c:delete val="0"/>
        <c:axPos val="l"/>
        <c:majorGridlines>
          <c:spPr>
            <a:ln w="9360">
              <a:solidFill>
                <a:srgbClr val="e0e0e0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4865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lang="ru-RU" sz="1800" strike="noStrike" u="none">
                <a:solidFill>
                  <a:srgbClr val="000000"/>
                </a:solidFill>
                <a:uFillTx/>
                <a:latin typeface="Calibri"/>
              </a:rPr>
              <a:t>Выручка и чистая прибыль по сценариям, ₽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"Выручка"</c:f>
              <c:strCache>
                <c:ptCount val="1"/>
                <c:pt idx="0">
                  <c:v>Выручка</c:v>
                </c:pt>
              </c:strCache>
            </c:strRef>
          </c:tx>
          <c:spPr>
            <a:solidFill>
              <a:srgbClr val="9dc3e6"/>
            </a:solidFill>
            <a:ln w="0">
              <a:solidFill>
                <a:srgbClr val="9dc3e6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>
                  <a:solidFill>
                    <a:srgbClr val="9dc3e6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Сценарии!$D$5:$G$5</c:f>
              <c:multiLvlStrCache>
                <c:ptCount val="1"/>
                <c:lvl>
                  <c:pt idx="0">
                    <c:v>Пессимистичный + меры</c:v>
                  </c:pt>
                </c:lvl>
                <c:lvl>
                  <c:pt idx="0">
                    <c:v>Пессимистичный</c:v>
                  </c:pt>
                </c:lvl>
                <c:lvl>
                  <c:pt idx="0">
                    <c:v>Базовый</c:v>
                  </c:pt>
                </c:lvl>
                <c:lvl>
                  <c:pt idx="0">
                    <c:v>Оптимистичный</c:v>
                  </c:pt>
                </c:lvl>
              </c:multiLvlStrCache>
            </c:multiLvlStrRef>
          </c:cat>
          <c:val>
            <c:numRef>
              <c:f>Сценарии!$D$8:$G$8</c:f>
              <c:numCache>
                <c:formatCode>#,##0;[RED]\-#,##0;\-</c:formatCode>
                <c:ptCount val="4"/>
                <c:pt idx="0">
                  <c:v>856656.05</c:v>
                </c:pt>
                <c:pt idx="1">
                  <c:v>612516.15</c:v>
                </c:pt>
                <c:pt idx="2">
                  <c:v>367399.45</c:v>
                </c:pt>
                <c:pt idx="3">
                  <c:v>367399.45</c:v>
                </c:pt>
              </c:numCache>
            </c:numRef>
          </c:val>
        </c:ser>
        <c:ser>
          <c:idx val="1"/>
          <c:order val="1"/>
          <c:tx>
            <c:strRef>
              <c:f>"Чистая прибыль"</c:f>
              <c:strCache>
                <c:ptCount val="1"/>
                <c:pt idx="0">
                  <c:v>Чистая прибыль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>
                  <a:solidFill>
                    <a:srgbClr val="1f3864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Сценарии!$D$5:$G$5</c:f>
              <c:multiLvlStrCache>
                <c:ptCount val="1"/>
                <c:lvl>
                  <c:pt idx="0">
                    <c:v>Пессимистичный + меры</c:v>
                  </c:pt>
                </c:lvl>
                <c:lvl>
                  <c:pt idx="0">
                    <c:v>Пессимистичный</c:v>
                  </c:pt>
                </c:lvl>
                <c:lvl>
                  <c:pt idx="0">
                    <c:v>Базовый</c:v>
                  </c:pt>
                </c:lvl>
                <c:lvl>
                  <c:pt idx="0">
                    <c:v>Оптимистичный</c:v>
                  </c:pt>
                </c:lvl>
              </c:multiLvlStrCache>
            </c:multiLvlStrRef>
          </c:cat>
          <c:val>
            <c:numRef>
              <c:f>Сценарии!$D$10:$G$10</c:f>
              <c:numCache>
                <c:formatCode>#,##0;[RED]\-#,##0;\-</c:formatCode>
                <c:ptCount val="4"/>
                <c:pt idx="0">
                  <c:v>242152.62</c:v>
                </c:pt>
                <c:pt idx="1">
                  <c:v>110635.14</c:v>
                </c:pt>
                <c:pt idx="2">
                  <c:v>-61712.62</c:v>
                </c:pt>
                <c:pt idx="3">
                  <c:v>-21712.62</c:v>
                </c:pt>
              </c:numCache>
            </c:numRef>
          </c:val>
        </c:ser>
        <c:gapWidth val="80"/>
        <c:overlap val="0"/>
        <c:axId val="10044656"/>
        <c:axId val="81811721"/>
      </c:barChart>
      <c:catAx>
        <c:axId val="100446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811721"/>
        <c:crosses val="autoZero"/>
        <c:auto val="1"/>
        <c:lblAlgn val="ctr"/>
        <c:lblOffset val="100"/>
        <c:noMultiLvlLbl val="0"/>
      </c:catAx>
      <c:valAx>
        <c:axId val="8181172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04465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1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lang="ru-RU" sz="1200" strike="noStrike" u="none">
                <a:solidFill>
                  <a:srgbClr val="000000"/>
                </a:solidFill>
                <a:uFillTx/>
                <a:latin typeface="Calibri"/>
              </a:rPr>
              <a:t>Чистая прибыль при изменении фактора, ₽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Чувствительность!$B$8</c:f>
              <c:strCache>
                <c:ptCount val="1"/>
                <c:pt idx="0">
                  <c:v>MAU (аудитория, все месяцы)</c:v>
                </c:pt>
              </c:strCache>
            </c:strRef>
          </c:tx>
          <c:spPr>
            <a:solidFill>
              <a:srgbClr val="2e75b6"/>
            </a:solidFill>
            <a:ln cap="rnd" w="2844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Чувствительность!$D$7:$F$7</c:f>
              <c:strCache>
                <c:ptCount val="3"/>
                <c:pt idx="0">
                  <c:v>−20%</c:v>
                </c:pt>
                <c:pt idx="1">
                  <c:v>База</c:v>
                </c:pt>
                <c:pt idx="2">
                  <c:v>+20%</c:v>
                </c:pt>
              </c:strCache>
            </c:strRef>
          </c:cat>
          <c:val>
            <c:numRef>
              <c:f>Чувствительность!$D$8:$F$8</c:f>
              <c:numCache>
                <c:formatCode>#,##0;[RED]\-#,##0;\-</c:formatCode>
                <c:ptCount val="3"/>
                <c:pt idx="0">
                  <c:v>3907.74000000005</c:v>
                </c:pt>
                <c:pt idx="1">
                  <c:v>110635.14</c:v>
                </c:pt>
                <c:pt idx="2">
                  <c:v>216247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Чувствительность!$B$9</c:f>
              <c:strCache>
                <c:ptCount val="1"/>
                <c:pt idx="0">
                  <c:v>eCPM Interstitial</c:v>
                </c:pt>
              </c:strCache>
            </c:strRef>
          </c:tx>
          <c:spPr>
            <a:solidFill>
              <a:srgbClr val="c00000"/>
            </a:solidFill>
            <a:ln cap="rnd" w="28440">
              <a:solidFill>
                <a:srgbClr val="c00000"/>
              </a:solidFill>
              <a:round/>
            </a:ln>
          </c:spPr>
          <c:marker>
            <c:symbol val="circle"/>
            <c:size val="6"/>
            <c:spPr>
              <a:solidFill>
                <a:srgbClr val="c00000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Чувствительность!$D$7:$F$7</c:f>
              <c:strCache>
                <c:ptCount val="3"/>
                <c:pt idx="0">
                  <c:v>−20%</c:v>
                </c:pt>
                <c:pt idx="1">
                  <c:v>База</c:v>
                </c:pt>
                <c:pt idx="2">
                  <c:v>+20%</c:v>
                </c:pt>
              </c:strCache>
            </c:strRef>
          </c:cat>
          <c:val>
            <c:numRef>
              <c:f>Чувствительность!$D$9:$F$9</c:f>
              <c:numCache>
                <c:formatCode>#,##0;[RED]\-#,##0;\-</c:formatCode>
                <c:ptCount val="3"/>
                <c:pt idx="0">
                  <c:v>83844.39</c:v>
                </c:pt>
                <c:pt idx="1">
                  <c:v>110635.14</c:v>
                </c:pt>
                <c:pt idx="2">
                  <c:v>137425.89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Чувствительность!$B$10</c:f>
              <c:strCache>
                <c:ptCount val="1"/>
                <c:pt idx="0">
                  <c:v>eCPM Rewarded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circle"/>
            <c:size val="6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Чувствительность!$D$7:$F$7</c:f>
              <c:strCache>
                <c:ptCount val="3"/>
                <c:pt idx="0">
                  <c:v>−20%</c:v>
                </c:pt>
                <c:pt idx="1">
                  <c:v>База</c:v>
                </c:pt>
                <c:pt idx="2">
                  <c:v>+20%</c:v>
                </c:pt>
              </c:strCache>
            </c:strRef>
          </c:cat>
          <c:val>
            <c:numRef>
              <c:f>Чувствительность!$D$10:$F$10</c:f>
              <c:numCache>
                <c:formatCode>#,##0;[RED]\-#,##0;\-</c:formatCode>
                <c:ptCount val="3"/>
                <c:pt idx="0">
                  <c:v>64562.3400000001</c:v>
                </c:pt>
                <c:pt idx="1">
                  <c:v>110635.14</c:v>
                </c:pt>
                <c:pt idx="2">
                  <c:v>156707.94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Чувствительность!$B$11</c:f>
              <c:strCache>
                <c:ptCount val="1"/>
                <c:pt idx="0">
                  <c:v>Конверсия в плательщиков (средняя)</c:v>
                </c:pt>
              </c:strCache>
            </c:strRef>
          </c:tx>
          <c:spPr>
            <a:solidFill>
              <a:srgbClr val="70ad47"/>
            </a:solidFill>
            <a:ln cap="rnd" w="28440">
              <a:solidFill>
                <a:srgbClr val="70ad47"/>
              </a:solidFill>
              <a:round/>
            </a:ln>
          </c:spPr>
          <c:marker>
            <c:symbol val="circle"/>
            <c:size val="6"/>
            <c:spPr>
              <a:solidFill>
                <a:srgbClr val="70ad47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Чувствительность!$D$7:$F$7</c:f>
              <c:strCache>
                <c:ptCount val="3"/>
                <c:pt idx="0">
                  <c:v>−20%</c:v>
                </c:pt>
                <c:pt idx="1">
                  <c:v>База</c:v>
                </c:pt>
                <c:pt idx="2">
                  <c:v>+20%</c:v>
                </c:pt>
              </c:strCache>
            </c:strRef>
          </c:cat>
          <c:val>
            <c:numRef>
              <c:f>Чувствительность!$D$11:$F$11</c:f>
              <c:numCache>
                <c:formatCode>#,##0;[RED]\-#,##0;\-</c:formatCode>
                <c:ptCount val="3"/>
                <c:pt idx="0">
                  <c:v>67841.04</c:v>
                </c:pt>
                <c:pt idx="1">
                  <c:v>110635.14</c:v>
                </c:pt>
                <c:pt idx="2">
                  <c:v>152313.7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Чувствительность!$B$12</c:f>
              <c:strCache>
                <c:ptCount val="1"/>
                <c:pt idx="0">
                  <c:v>Средний чек IAP (ARPPU, средний)</c:v>
                </c:pt>
              </c:strCache>
            </c:strRef>
          </c:tx>
          <c:spPr>
            <a:solidFill>
              <a:srgbClr val="7f7f7f"/>
            </a:solidFill>
            <a:ln cap="rnd" w="28440">
              <a:solidFill>
                <a:srgbClr val="7f7f7f"/>
              </a:solidFill>
              <a:round/>
            </a:ln>
          </c:spPr>
          <c:marker>
            <c:symbol val="circle"/>
            <c:size val="6"/>
            <c:spPr>
              <a:solidFill>
                <a:srgbClr val="7f7f7f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Чувствительность!$D$7:$F$7</c:f>
              <c:strCache>
                <c:ptCount val="3"/>
                <c:pt idx="0">
                  <c:v>−20%</c:v>
                </c:pt>
                <c:pt idx="1">
                  <c:v>База</c:v>
                </c:pt>
                <c:pt idx="2">
                  <c:v>+20%</c:v>
                </c:pt>
              </c:strCache>
            </c:strRef>
          </c:cat>
          <c:val>
            <c:numRef>
              <c:f>Чувствительность!$D$12:$F$12</c:f>
              <c:numCache>
                <c:formatCode>#,##0;[RED]\-#,##0;\-</c:formatCode>
                <c:ptCount val="3"/>
                <c:pt idx="0">
                  <c:v>68441.412</c:v>
                </c:pt>
                <c:pt idx="1">
                  <c:v>110635.14</c:v>
                </c:pt>
                <c:pt idx="2">
                  <c:v>152828.868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Чувствительность!$B$13</c:f>
              <c:strCache>
                <c:ptCount val="1"/>
                <c:pt idx="0">
                  <c:v>Маркетинг после релиза, ₽/мес</c:v>
                </c:pt>
              </c:strCache>
            </c:strRef>
          </c:tx>
          <c:spPr>
            <a:solidFill>
              <a:srgbClr val="7030a0"/>
            </a:solidFill>
            <a:ln cap="rnd" w="28440">
              <a:solidFill>
                <a:srgbClr val="7030a0"/>
              </a:solidFill>
              <a:round/>
            </a:ln>
          </c:spPr>
          <c:marker>
            <c:symbol val="circle"/>
            <c:size val="6"/>
            <c:spPr>
              <a:solidFill>
                <a:srgbClr val="7030a0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Чувствительность!$D$7:$F$7</c:f>
              <c:strCache>
                <c:ptCount val="3"/>
                <c:pt idx="0">
                  <c:v>−20%</c:v>
                </c:pt>
                <c:pt idx="1">
                  <c:v>База</c:v>
                </c:pt>
                <c:pt idx="2">
                  <c:v>+20%</c:v>
                </c:pt>
              </c:strCache>
            </c:strRef>
          </c:cat>
          <c:val>
            <c:numRef>
              <c:f>Чувствительность!$D$13:$F$13</c:f>
              <c:numCache>
                <c:formatCode>#,##0;[RED]\-#,##0;\-</c:formatCode>
                <c:ptCount val="3"/>
                <c:pt idx="0">
                  <c:v>158635.14</c:v>
                </c:pt>
                <c:pt idx="1">
                  <c:v>110635.14</c:v>
                </c:pt>
                <c:pt idx="2">
                  <c:v>62635.14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Чувствительность!$B$14</c:f>
              <c:strCache>
                <c:ptCount val="1"/>
                <c:pt idx="0">
                  <c:v>Бухгалтерия и юр. сопровождение, ₽/мес</c:v>
                </c:pt>
              </c:strCache>
            </c:strRef>
          </c:tx>
          <c:spPr>
            <a:solidFill>
              <a:srgbClr val="00a3a3"/>
            </a:solidFill>
            <a:ln cap="rnd" w="28440">
              <a:solidFill>
                <a:srgbClr val="00a3a3"/>
              </a:solidFill>
              <a:round/>
            </a:ln>
          </c:spPr>
          <c:marker>
            <c:symbol val="circle"/>
            <c:size val="6"/>
            <c:spPr>
              <a:solidFill>
                <a:srgbClr val="00a3a3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Чувствительность!$D$7:$F$7</c:f>
              <c:strCache>
                <c:ptCount val="3"/>
                <c:pt idx="0">
                  <c:v>−20%</c:v>
                </c:pt>
                <c:pt idx="1">
                  <c:v>База</c:v>
                </c:pt>
                <c:pt idx="2">
                  <c:v>+20%</c:v>
                </c:pt>
              </c:strCache>
            </c:strRef>
          </c:cat>
          <c:val>
            <c:numRef>
              <c:f>Чувствительность!$D$14:$F$14</c:f>
              <c:numCache>
                <c:formatCode>#,##0;[RED]\-#,##0;\-</c:formatCode>
                <c:ptCount val="3"/>
                <c:pt idx="0">
                  <c:v>128635.14</c:v>
                </c:pt>
                <c:pt idx="1">
                  <c:v>110635.14</c:v>
                </c:pt>
                <c:pt idx="2">
                  <c:v>92635.14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4988013"/>
        <c:axId val="12412164"/>
      </c:lineChart>
      <c:catAx>
        <c:axId val="749880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lang="ru-RU" sz="9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Изменение фактора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412164"/>
        <c:crosses val="autoZero"/>
        <c:auto val="1"/>
        <c:lblAlgn val="ctr"/>
        <c:lblOffset val="100"/>
        <c:noMultiLvlLbl val="0"/>
      </c:catAx>
      <c:valAx>
        <c:axId val="1241216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9880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0</xdr:rowOff>
    </xdr:from>
    <xdr:to>
      <xdr:col>6</xdr:col>
      <xdr:colOff>739800</xdr:colOff>
      <xdr:row>27</xdr:row>
      <xdr:rowOff>164520</xdr:rowOff>
    </xdr:to>
    <xdr:graphicFrame>
      <xdr:nvGraphicFramePr>
        <xdr:cNvPr id="0" name="Chart 1"/>
        <xdr:cNvGraphicFramePr/>
      </xdr:nvGraphicFramePr>
      <xdr:xfrm>
        <a:off x="128160" y="2790720"/>
        <a:ext cx="4967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12</xdr:row>
      <xdr:rowOff>0</xdr:rowOff>
    </xdr:from>
    <xdr:to>
      <xdr:col>14</xdr:col>
      <xdr:colOff>740160</xdr:colOff>
      <xdr:row>27</xdr:row>
      <xdr:rowOff>164520</xdr:rowOff>
    </xdr:to>
    <xdr:graphicFrame>
      <xdr:nvGraphicFramePr>
        <xdr:cNvPr id="1" name="Chart 2"/>
        <xdr:cNvGraphicFramePr/>
      </xdr:nvGraphicFramePr>
      <xdr:xfrm>
        <a:off x="6548040" y="2790720"/>
        <a:ext cx="4967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28</xdr:row>
      <xdr:rowOff>0</xdr:rowOff>
    </xdr:from>
    <xdr:to>
      <xdr:col>6</xdr:col>
      <xdr:colOff>739800</xdr:colOff>
      <xdr:row>43</xdr:row>
      <xdr:rowOff>164880</xdr:rowOff>
    </xdr:to>
    <xdr:graphicFrame>
      <xdr:nvGraphicFramePr>
        <xdr:cNvPr id="2" name="Chart 3"/>
        <xdr:cNvGraphicFramePr/>
      </xdr:nvGraphicFramePr>
      <xdr:xfrm>
        <a:off x="128160" y="5686560"/>
        <a:ext cx="4967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28</xdr:row>
      <xdr:rowOff>0</xdr:rowOff>
    </xdr:from>
    <xdr:to>
      <xdr:col>15</xdr:col>
      <xdr:colOff>757800</xdr:colOff>
      <xdr:row>44</xdr:row>
      <xdr:rowOff>24840</xdr:rowOff>
    </xdr:to>
    <xdr:graphicFrame>
      <xdr:nvGraphicFramePr>
        <xdr:cNvPr id="3" name="Chart 4"/>
        <xdr:cNvGraphicFramePr/>
      </xdr:nvGraphicFramePr>
      <xdr:xfrm>
        <a:off x="6548040" y="5686560"/>
        <a:ext cx="6002280" cy="2920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4</xdr:row>
      <xdr:rowOff>0</xdr:rowOff>
    </xdr:from>
    <xdr:to>
      <xdr:col>15</xdr:col>
      <xdr:colOff>735480</xdr:colOff>
      <xdr:row>20</xdr:row>
      <xdr:rowOff>143640</xdr:rowOff>
    </xdr:to>
    <xdr:graphicFrame>
      <xdr:nvGraphicFramePr>
        <xdr:cNvPr id="4" name="Chart 1"/>
        <xdr:cNvGraphicFramePr/>
      </xdr:nvGraphicFramePr>
      <xdr:xfrm>
        <a:off x="13521600" y="847800"/>
        <a:ext cx="683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4</xdr:row>
      <xdr:rowOff>0</xdr:rowOff>
    </xdr:from>
    <xdr:to>
      <xdr:col>16</xdr:col>
      <xdr:colOff>264960</xdr:colOff>
      <xdr:row>22</xdr:row>
      <xdr:rowOff>113040</xdr:rowOff>
    </xdr:to>
    <xdr:graphicFrame>
      <xdr:nvGraphicFramePr>
        <xdr:cNvPr id="5" name="Chart 1"/>
        <xdr:cNvGraphicFramePr/>
      </xdr:nvGraphicFramePr>
      <xdr:xfrm>
        <a:off x="13285440" y="847800"/>
        <a:ext cx="719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D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1" width="1.44"/>
    <col collapsed="false" customWidth="true" hidden="false" outlineLevel="0" max="2" min="2" style="1" width="42"/>
    <col collapsed="false" customWidth="true" hidden="false" outlineLevel="0" max="3" min="3" style="1" width="74"/>
    <col collapsed="false" customWidth="true" hidden="false" outlineLevel="0" max="4" min="4" style="1" width="16"/>
  </cols>
  <sheetData>
    <row r="1" customFormat="false" ht="7.5" hidden="false" customHeight="true" outlineLevel="0" collapsed="false">
      <c r="A1" s="2"/>
      <c r="B1" s="2"/>
      <c r="C1" s="2"/>
      <c r="D1" s="2"/>
    </row>
    <row r="2" customFormat="false" ht="33.75" hidden="false" customHeight="true" outlineLevel="0" collapsed="false">
      <c r="B2" s="3" t="str">
        <f aca="false">"Финансовая модель проекта "&amp;Проект</f>
        <v>Финансовая модель проекта «Наследие»</v>
      </c>
    </row>
    <row r="3" customFormat="false" ht="15" hidden="false" customHeight="false" outlineLevel="0" collapsed="false">
      <c r="B3" s="4" t="s">
        <v>0</v>
      </c>
    </row>
    <row r="4" customFormat="false" ht="14.25" hidden="false" customHeight="false" outlineLevel="0" collapsed="false">
      <c r="B4" s="5" t="s">
        <v>1</v>
      </c>
    </row>
    <row r="6" customFormat="false" ht="16.5" hidden="false" customHeight="true" outlineLevel="0" collapsed="false">
      <c r="B6" s="6" t="s">
        <v>2</v>
      </c>
      <c r="C6" s="6"/>
    </row>
    <row r="7" customFormat="false" ht="14.25" hidden="false" customHeight="false" outlineLevel="0" collapsed="false">
      <c r="B7" s="7" t="s">
        <v>3</v>
      </c>
      <c r="C7" s="8" t="str">
        <f aca="false">CHOOSE(MONTH(Дата_начала),"Январь","Февраль","Март","Апрель","Май","Июнь","Июль","Август","Сентябрь","Октябрь","Ноябрь","Декабрь")&amp;" "&amp;YEAR(Дата_начала)&amp;" - "&amp;CHOOSE(MONTH(DATE(YEAR(Дата_начала),MONTH(Дата_начала)+11,1)),"Январь","Февраль","Март","Апрель","Май","Июнь","Июль","Август","Сентябрь","Октябрь","Ноябрь","Декабрь")&amp;" "&amp;YEAR(DATE(YEAR(Дата_начала),MONTH(Дата_начала)+11,1))&amp;" (12 месяцев)"</f>
        <v>Сентябрь 2026 - Август 2027 (12 месяцев)</v>
      </c>
    </row>
    <row r="8" customFormat="false" ht="14.25" hidden="false" customHeight="false" outlineLevel="0" collapsed="false">
      <c r="B8" s="7" t="s">
        <v>4</v>
      </c>
      <c r="C8" s="8" t="str">
        <f aca="false">FIXED(Собств_капитал,0)&amp;" ₽ собственных средств команды (по "&amp;FIXED(Взнос_участника,0)&amp;" ₽ с человека)"</f>
        <v>200,000 ₽ собственных средств команды (по 50,000 ₽ с человека)</v>
      </c>
    </row>
    <row r="9" customFormat="false" ht="14.25" hidden="false" customHeight="false" outlineLevel="0" collapsed="false">
      <c r="B9" s="7" t="s">
        <v>5</v>
      </c>
      <c r="C9" s="8" t="str">
        <f aca="false">Участников&amp;" человека, прибыль после релиза делится поровну"</f>
        <v>4 человека, прибыль после релиза делится поровну</v>
      </c>
    </row>
    <row r="10" customFormat="false" ht="14.25" hidden="false" customHeight="false" outlineLevel="0" collapsed="false">
      <c r="B10" s="7" t="s">
        <v>6</v>
      </c>
      <c r="C10" s="8" t="str">
        <f aca="false">Контент_MVP</f>
        <v>4 истории × 4 главы = 16 глав</v>
      </c>
    </row>
    <row r="11" customFormat="false" ht="14.25" hidden="false" customHeight="false" outlineLevel="0" collapsed="false">
      <c r="B11" s="7" t="s">
        <v>7</v>
      </c>
      <c r="C11" s="8" t="str">
        <f aca="false">Месяц_релиза_текст</f>
        <v>Янв 2027</v>
      </c>
    </row>
    <row r="12" customFormat="false" ht="14.25" hidden="false" customHeight="false" outlineLevel="0" collapsed="false">
      <c r="B12" s="7" t="s">
        <v>8</v>
      </c>
      <c r="C12" s="8" t="str">
        <f aca="false">Сценарий</f>
        <v>Базовый</v>
      </c>
    </row>
    <row r="13" customFormat="false" ht="14.25" hidden="false" customHeight="false" outlineLevel="0" collapsed="false">
      <c r="B13" s="7" t="s">
        <v>9</v>
      </c>
      <c r="C13" s="8" t="str">
        <f aca="false">Статус_проверок</f>
        <v>Все проверки пройдены</v>
      </c>
    </row>
    <row r="15" customFormat="false" ht="16.5" hidden="false" customHeight="true" outlineLevel="0" collapsed="false">
      <c r="B15" s="6" t="s">
        <v>10</v>
      </c>
      <c r="C15" s="6"/>
    </row>
    <row r="16" customFormat="false" ht="14.25" hidden="false" customHeight="false" outlineLevel="0" collapsed="false">
      <c r="B16" s="7" t="s">
        <v>11</v>
      </c>
      <c r="C16" s="8" t="str">
        <f aca="false">FIXED(KPI_выручка,0)&amp;" ₽"</f>
        <v>612,516 ₽</v>
      </c>
    </row>
    <row r="17" customFormat="false" ht="14.25" hidden="false" customHeight="false" outlineLevel="0" collapsed="false">
      <c r="B17" s="7" t="s">
        <v>12</v>
      </c>
      <c r="C17" s="8" t="str">
        <f aca="false">FIXED(KPI_ЧП,0)&amp;" ₽ (рентабельность "&amp;FIXED(KPI_ЧП_м*100,1)&amp;"%)"</f>
        <v>110,635 ₽ (рентабельность 18.1%)</v>
      </c>
    </row>
    <row r="18" customFormat="false" ht="14.25" hidden="false" customHeight="false" outlineLevel="0" collapsed="false">
      <c r="B18" s="7" t="s">
        <v>13</v>
      </c>
      <c r="C18" s="8" t="str">
        <f aca="false">FIXED(KPI_ROI*100,0)&amp;"%"</f>
        <v>55%</v>
      </c>
    </row>
    <row r="19" customFormat="false" ht="14.25" hidden="false" customHeight="false" outlineLevel="0" collapsed="false">
      <c r="B19" s="7" t="s">
        <v>14</v>
      </c>
      <c r="C19" s="8" t="str">
        <f aca="false">FIXED(BEP_MAU,0)&amp;" MAU; EBITDA положительна с: "&amp;BEP_месяц</f>
        <v>6,236 MAU; EBITDA положительна с: Апр 2027</v>
      </c>
    </row>
    <row r="20" customFormat="false" ht="14.25" hidden="false" customHeight="false" outlineLevel="0" collapsed="false">
      <c r="B20" s="7" t="s">
        <v>15</v>
      </c>
      <c r="C20" s="8" t="str">
        <f aca="false">IF(ISNUMBER(PP_docx),FIXED(PP_docx,1)&amp;" мес.: выход в плюс в "&amp;PP_docx_мес&amp;" ("&amp;ROUNDUP(PP_docx,0)&amp;"-й месяц проекта)","за пределами 12 месяцев")</f>
        <v>11.0 мес.: выход в плюс в Июл 2027 (11-й месяц проекта)</v>
      </c>
    </row>
    <row r="21" customFormat="false" ht="14.25" hidden="false" customHeight="false" outlineLevel="0" collapsed="false">
      <c r="B21" s="7" t="s">
        <v>16</v>
      </c>
      <c r="C21" s="8" t="str">
        <f aca="false">FIXED(KPI_деньги,0)&amp;" ₽, минимум "&amp;FIXED(KPI_мин_деньги,0)&amp;" ₽"</f>
        <v>310,635 ₽, минимум 69,243 ₽</v>
      </c>
    </row>
    <row r="23" customFormat="false" ht="16.5" hidden="false" customHeight="true" outlineLevel="0" collapsed="false">
      <c r="B23" s="6" t="s">
        <v>17</v>
      </c>
      <c r="C23" s="6"/>
      <c r="D23" s="6"/>
    </row>
    <row r="24" customFormat="false" ht="14.25" hidden="false" customHeight="false" outlineLevel="0" collapsed="false">
      <c r="B24" s="9" t="str">
        <f aca="false">HYPERLINK("#'Дашборд'!A1","Дашборд")</f>
        <v>Дашборд</v>
      </c>
      <c r="C24" s="8" t="s">
        <v>18</v>
      </c>
    </row>
    <row r="25" customFormat="false" ht="14.25" hidden="false" customHeight="false" outlineLevel="0" collapsed="false">
      <c r="B25" s="9" t="str">
        <f aca="false">HYPERLINK("#'Допущения'!A1","Допущения")</f>
        <v>Допущения</v>
      </c>
      <c r="C25" s="8" t="s">
        <v>19</v>
      </c>
    </row>
    <row r="26" customFormat="false" ht="14.25" hidden="false" customHeight="false" outlineLevel="0" collapsed="false">
      <c r="B26" s="9" t="str">
        <f aca="false">HYPERLINK("#'Выручка'!A1","Выручка")</f>
        <v>Выручка</v>
      </c>
      <c r="C26" s="8" t="s">
        <v>20</v>
      </c>
    </row>
    <row r="27" customFormat="false" ht="14.25" hidden="false" customHeight="false" outlineLevel="0" collapsed="false">
      <c r="B27" s="9" t="str">
        <f aca="false">HYPERLINK("#'Расходы'!A1","Расходы")</f>
        <v>Расходы</v>
      </c>
      <c r="C27" s="8" t="s">
        <v>21</v>
      </c>
    </row>
    <row r="28" customFormat="false" ht="14.25" hidden="true" customHeight="false" outlineLevel="0" collapsed="false">
      <c r="B28" s="9" t="str">
        <f aca="false">HYPERLINK("#'Кредит'!A1","Кредит")</f>
        <v>Кредит</v>
      </c>
      <c r="C28" s="8" t="s">
        <v>22</v>
      </c>
    </row>
    <row r="29" customFormat="false" ht="14.25" hidden="false" customHeight="false" outlineLevel="0" collapsed="false">
      <c r="B29" s="9" t="str">
        <f aca="false">HYPERLINK("#'ОПиУ'!A1","ОПиУ")</f>
        <v>ОПиУ</v>
      </c>
      <c r="C29" s="8" t="s">
        <v>23</v>
      </c>
    </row>
    <row r="30" customFormat="false" ht="14.25" hidden="false" customHeight="false" outlineLevel="0" collapsed="false">
      <c r="B30" s="9" t="str">
        <f aca="false">HYPERLINK("#'ДДС'!A1","ДДС")</f>
        <v>ДДС</v>
      </c>
      <c r="C30" s="8" t="s">
        <v>24</v>
      </c>
    </row>
    <row r="31" customFormat="false" ht="14.25" hidden="false" customHeight="false" outlineLevel="0" collapsed="false">
      <c r="B31" s="9" t="str">
        <f aca="false">HYPERLINK("#'Баланс'!A1","Баланс")</f>
        <v>Баланс</v>
      </c>
      <c r="C31" s="8" t="s">
        <v>25</v>
      </c>
    </row>
    <row r="32" customFormat="false" ht="14.25" hidden="false" customHeight="false" outlineLevel="0" collapsed="false">
      <c r="B32" s="9" t="str">
        <f aca="false">HYPERLINK("#'Показатели'!A1","Показатели")</f>
        <v>Показатели</v>
      </c>
      <c r="C32" s="8" t="s">
        <v>26</v>
      </c>
    </row>
    <row r="33" customFormat="false" ht="14.25" hidden="false" customHeight="false" outlineLevel="0" collapsed="false">
      <c r="B33" s="9" t="str">
        <f aca="false">HYPERLINK("#'Сценарии'!A1","Сценарии")</f>
        <v>Сценарии</v>
      </c>
      <c r="C33" s="8" t="s">
        <v>27</v>
      </c>
    </row>
    <row r="34" customFormat="false" ht="14.25" hidden="false" customHeight="false" outlineLevel="0" collapsed="false">
      <c r="B34" s="9" t="str">
        <f aca="false">HYPERLINK("#'Чувствительность'!A1","Чувствительность")</f>
        <v>Чувствительность</v>
      </c>
      <c r="C34" s="8" t="s">
        <v>28</v>
      </c>
    </row>
    <row r="35" customFormat="false" ht="14.25" hidden="false" customHeight="false" outlineLevel="0" collapsed="false">
      <c r="B35" s="9" t="str">
        <f aca="false">HYPERLINK("#'Команда'!A1","Команда")</f>
        <v>Команда</v>
      </c>
      <c r="C35" s="8" t="s">
        <v>29</v>
      </c>
    </row>
    <row r="36" customFormat="false" ht="14.25" hidden="false" customHeight="false" outlineLevel="0" collapsed="false">
      <c r="B36" s="9" t="str">
        <f aca="false">HYPERLINK("#'Риски'!A1","Риски")</f>
        <v>Риски</v>
      </c>
      <c r="C36" s="8" t="s">
        <v>30</v>
      </c>
    </row>
    <row r="37" customFormat="false" ht="14.25" hidden="false" customHeight="false" outlineLevel="0" collapsed="false">
      <c r="B37" s="9" t="str">
        <f aca="false">HYPERLINK("#'Защита'!A1","Защита")</f>
        <v>Защита</v>
      </c>
      <c r="C37" s="8" t="s">
        <v>31</v>
      </c>
    </row>
    <row r="38" customFormat="false" ht="14.25" hidden="false" customHeight="false" outlineLevel="0" collapsed="false">
      <c r="B38" s="9" t="str">
        <f aca="false">HYPERLINK("#'Проверки'!A1","Проверки")</f>
        <v>Проверки</v>
      </c>
      <c r="C38" s="8" t="s">
        <v>32</v>
      </c>
    </row>
    <row r="40" customFormat="false" ht="16.5" hidden="false" customHeight="true" outlineLevel="0" collapsed="false">
      <c r="B40" s="6" t="s">
        <v>33</v>
      </c>
      <c r="C40" s="6"/>
      <c r="D40" s="6"/>
    </row>
    <row r="41" customFormat="false" ht="14.25" hidden="false" customHeight="false" outlineLevel="0" collapsed="false">
      <c r="B41" s="10" t="n">
        <v>1000</v>
      </c>
      <c r="C41" s="8" t="s">
        <v>34</v>
      </c>
    </row>
    <row r="42" customFormat="false" ht="14.25" hidden="false" customHeight="false" outlineLevel="0" collapsed="false">
      <c r="B42" s="11" t="n">
        <v>1000</v>
      </c>
      <c r="C42" s="8" t="s">
        <v>35</v>
      </c>
    </row>
    <row r="43" customFormat="false" ht="14.25" hidden="false" customHeight="false" outlineLevel="0" collapsed="false">
      <c r="B43" s="12" t="n">
        <v>1000</v>
      </c>
      <c r="C43" s="8" t="s">
        <v>36</v>
      </c>
    </row>
    <row r="44" customFormat="false" ht="14.25" hidden="false" customHeight="false" outlineLevel="0" collapsed="false">
      <c r="B44" s="13" t="n">
        <v>1000</v>
      </c>
      <c r="C44" s="8" t="s">
        <v>37</v>
      </c>
    </row>
    <row r="45" customFormat="false" ht="14.25" hidden="false" customHeight="false" outlineLevel="0" collapsed="false">
      <c r="B45" s="12" t="n">
        <v>-1000</v>
      </c>
      <c r="C45" s="8" t="s">
        <v>38</v>
      </c>
    </row>
    <row r="46" customFormat="false" ht="14.25" hidden="false" customHeight="false" outlineLevel="0" collapsed="false">
      <c r="B46" s="14" t="s">
        <v>39</v>
      </c>
      <c r="C46" s="8" t="s">
        <v>40</v>
      </c>
    </row>
    <row r="48" customFormat="false" ht="16.5" hidden="false" customHeight="true" outlineLevel="0" collapsed="false">
      <c r="B48" s="6" t="s">
        <v>41</v>
      </c>
      <c r="C48" s="6"/>
      <c r="D48" s="6"/>
    </row>
    <row r="49" customFormat="false" ht="14.25" hidden="false" customHeight="false" outlineLevel="0" collapsed="false">
      <c r="B49" s="8" t="s">
        <v>42</v>
      </c>
    </row>
    <row r="50" customFormat="false" ht="14.25" hidden="false" customHeight="false" outlineLevel="0" collapsed="false">
      <c r="B50" s="8" t="s">
        <v>43</v>
      </c>
    </row>
    <row r="51" customFormat="false" ht="14.25" hidden="false" customHeight="false" outlineLevel="0" collapsed="false">
      <c r="B51" s="8" t="s">
        <v>44</v>
      </c>
    </row>
    <row r="52" customFormat="false" ht="14.25" hidden="false" customHeight="false" outlineLevel="0" collapsed="false">
      <c r="B52" s="8" t="s">
        <v>45</v>
      </c>
    </row>
    <row r="54" customFormat="false" ht="14.25" hidden="false" customHeight="false" outlineLevel="0" collapsed="false">
      <c r="B54" s="15"/>
    </row>
  </sheetData>
  <conditionalFormatting sqref="C13">
    <cfRule type="expression" priority="2" aboveAverage="0" equalAverage="0" bottom="0" percent="0" rank="0" text="" dxfId="0">
      <formula>LEFT($C$13,3)="Все"</formula>
    </cfRule>
    <cfRule type="expression" priority="3" aboveAverage="0" equalAverage="0" bottom="0" percent="0" rank="0" text="" dxfId="1">
      <formula>LEFT($C$13,3)="Про"</formula>
    </cfRule>
    <cfRule type="expression" priority="4" aboveAverage="0" equalAverage="0" bottom="0" percent="0" rank="0" text="" dxfId="2">
      <formula>LEFT($C$13,3)="Ест"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AD46"/>
  <sheetViews>
    <sheetView showFormulas="false" showGridLines="false" showRowColHeaders="true" showZeros="true" rightToLeft="false" tabSelected="false" showOutlineSymbols="true" defaultGridColor="true" view="normal" topLeftCell="K1" colorId="64" zoomScale="90" zoomScaleNormal="90" zoomScalePageLayoutView="100" workbookViewId="0">
      <selection pane="topLeft" activeCell="R16" activeCellId="0" sqref="R16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1" width="1.44"/>
    <col collapsed="false" customWidth="true" hidden="false" outlineLevel="0" max="4" min="2" style="1" width="11.44"/>
    <col collapsed="false" customWidth="true" hidden="false" outlineLevel="0" max="5" min="5" style="1" width="1.78"/>
    <col collapsed="false" customWidth="true" hidden="false" outlineLevel="0" max="8" min="6" style="1" width="11.44"/>
    <col collapsed="false" customWidth="true" hidden="false" outlineLevel="0" max="9" min="9" style="1" width="1.78"/>
    <col collapsed="false" customWidth="true" hidden="false" outlineLevel="0" max="12" min="10" style="1" width="11.44"/>
    <col collapsed="false" customWidth="true" hidden="false" outlineLevel="0" max="13" min="13" style="1" width="1.78"/>
    <col collapsed="false" customWidth="true" hidden="false" outlineLevel="0" max="16" min="14" style="1" width="11.44"/>
    <col collapsed="false" customWidth="true" hidden="false" outlineLevel="0" max="17" min="17" style="1" width="3"/>
    <col collapsed="false" customWidth="true" hidden="false" outlineLevel="0" max="18" min="18" style="1" width="34"/>
    <col collapsed="false" customWidth="true" hidden="false" outlineLevel="0" max="30" min="19" style="1" width="10.44"/>
  </cols>
  <sheetData>
    <row r="2" customFormat="false" ht="24" hidden="false" customHeight="true" outlineLevel="0" collapsed="false">
      <c r="B2" s="16" t="str">
        <f aca="false">"Дашборд: проект "&amp;Проект</f>
        <v>Дашборд: проект «Наследие»</v>
      </c>
    </row>
    <row r="3" customFormat="false" ht="14.25" hidden="false" customHeight="false" outlineLevel="0" collapsed="false">
      <c r="B3" s="5" t="str">
        <f aca="false">"Сценарий: «"&amp;Сценарий&amp;"»   |   "&amp;Статус_проверок&amp;"   |   релиз: "&amp;Месяц_релиза_текст</f>
        <v>Сценарий: «Базовый»   |   Все проверки пройдены   |   релиз: Янв 2027</v>
      </c>
    </row>
    <row r="4" customFormat="false" ht="14.25" hidden="false" customHeight="false" outlineLevel="0" collapsed="false">
      <c r="R4" s="17" t="s">
        <v>46</v>
      </c>
    </row>
    <row r="5" customFormat="false" ht="16.5" hidden="false" customHeight="true" outlineLevel="0" collapsed="false">
      <c r="B5" s="18" t="s">
        <v>47</v>
      </c>
      <c r="C5" s="18"/>
      <c r="D5" s="18"/>
      <c r="F5" s="18" t="s">
        <v>48</v>
      </c>
      <c r="G5" s="18"/>
      <c r="H5" s="18"/>
      <c r="J5" s="18" t="s">
        <v>49</v>
      </c>
      <c r="K5" s="18"/>
      <c r="L5" s="18"/>
      <c r="N5" s="18" t="s">
        <v>50</v>
      </c>
      <c r="O5" s="18"/>
      <c r="P5" s="18"/>
      <c r="R5" s="19" t="s">
        <v>51</v>
      </c>
      <c r="S5" s="20" t="str">
        <f aca="false">Выручка!H$5</f>
        <v>Сен 2026</v>
      </c>
      <c r="T5" s="20" t="str">
        <f aca="false">Выручка!I$5</f>
        <v>Окт 2026</v>
      </c>
      <c r="U5" s="20" t="str">
        <f aca="false">Выручка!J$5</f>
        <v>Ноя 2026</v>
      </c>
      <c r="V5" s="20" t="str">
        <f aca="false">Выручка!K$5</f>
        <v>Дек 2026</v>
      </c>
      <c r="W5" s="20" t="str">
        <f aca="false">Выручка!L$5</f>
        <v>Янв 2027</v>
      </c>
      <c r="X5" s="20" t="str">
        <f aca="false">Выручка!M$5</f>
        <v>Фев 2027</v>
      </c>
      <c r="Y5" s="20" t="str">
        <f aca="false">Выручка!N$5</f>
        <v>Мар 2027</v>
      </c>
      <c r="Z5" s="20" t="str">
        <f aca="false">Выручка!O$5</f>
        <v>Апр 2027</v>
      </c>
      <c r="AA5" s="20" t="str">
        <f aca="false">Выручка!P$5</f>
        <v>Май 2027</v>
      </c>
      <c r="AB5" s="20" t="str">
        <f aca="false">Выручка!Q$5</f>
        <v>Июн 2027</v>
      </c>
      <c r="AC5" s="20" t="str">
        <f aca="false">Выручка!R$5</f>
        <v>Июл 2027</v>
      </c>
      <c r="AD5" s="20" t="str">
        <f aca="false">Выручка!S$5</f>
        <v>Авг 2027</v>
      </c>
    </row>
    <row r="6" customFormat="false" ht="30" hidden="false" customHeight="true" outlineLevel="0" collapsed="false">
      <c r="B6" s="21" t="n">
        <f aca="false">KPI_выручка</f>
        <v>612516.15</v>
      </c>
      <c r="C6" s="21"/>
      <c r="D6" s="21"/>
      <c r="F6" s="21" t="n">
        <f aca="false">KPI_EBITDA</f>
        <v>110635.14</v>
      </c>
      <c r="G6" s="21"/>
      <c r="H6" s="21"/>
      <c r="J6" s="21" t="n">
        <f aca="false">KPI_ЧП</f>
        <v>110635.14</v>
      </c>
      <c r="K6" s="21"/>
      <c r="L6" s="21"/>
      <c r="N6" s="21" t="n">
        <f aca="false">KPI_деньги</f>
        <v>310635.14</v>
      </c>
      <c r="O6" s="21"/>
      <c r="P6" s="21"/>
      <c r="R6" s="8" t="s">
        <v>52</v>
      </c>
      <c r="S6" s="22" t="n">
        <f aca="false">Выручка!H19</f>
        <v>0</v>
      </c>
      <c r="T6" s="22" t="n">
        <f aca="false">Выручка!I19</f>
        <v>0</v>
      </c>
      <c r="U6" s="22" t="n">
        <f aca="false">Выручка!J19</f>
        <v>0</v>
      </c>
      <c r="V6" s="22" t="n">
        <f aca="false">Выручка!K19</f>
        <v>0</v>
      </c>
      <c r="W6" s="22" t="n">
        <f aca="false">Выручка!L19</f>
        <v>2733.75</v>
      </c>
      <c r="X6" s="22" t="n">
        <f aca="false">Выручка!M19</f>
        <v>5467.5</v>
      </c>
      <c r="Y6" s="22" t="n">
        <f aca="false">Выручка!N19</f>
        <v>9112.5</v>
      </c>
      <c r="Z6" s="22" t="n">
        <f aca="false">Выручка!O19</f>
        <v>12757.5</v>
      </c>
      <c r="AA6" s="22" t="n">
        <f aca="false">Выручка!P19</f>
        <v>16402.5</v>
      </c>
      <c r="AB6" s="22" t="n">
        <f aca="false">Выручка!Q19</f>
        <v>21870</v>
      </c>
      <c r="AC6" s="22" t="n">
        <f aca="false">Выручка!R19</f>
        <v>29160</v>
      </c>
      <c r="AD6" s="22" t="n">
        <f aca="false">Выручка!S19</f>
        <v>36450</v>
      </c>
    </row>
    <row r="7" customFormat="false" ht="15.75" hidden="false" customHeight="true" outlineLevel="0" collapsed="false">
      <c r="B7" s="23" t="str">
        <f aca="false">"реклама "&amp;(FIXED((Выручка!$F$37)*100,0)&amp;"%")&amp;", покупки "&amp;(FIXED((1-Выручка!$F$37)*100,0)&amp;"%")</f>
        <v>реклама 59%, покупки 41%</v>
      </c>
      <c r="C7" s="23"/>
      <c r="D7" s="23"/>
      <c r="F7" s="23" t="str">
        <f aca="false">"рентабельность "&amp;(FIXED((KPI_EBITDA_м)*100,1)&amp;"%")</f>
        <v>рентабельность 18.1%</v>
      </c>
      <c r="G7" s="23"/>
      <c r="H7" s="23"/>
      <c r="J7" s="23" t="str">
        <f aca="false">"рентабельность "&amp;(FIXED((KPI_ЧП_м)*100,1)&amp;"%")&amp;", на участника "&amp;(FIXED(ОПиУ!$F$31*Доля_1,0))&amp;" ₽"</f>
        <v>рентабельность 18.1%, на участника 27,659 ₽</v>
      </c>
      <c r="K7" s="23"/>
      <c r="L7" s="23"/>
      <c r="N7" s="23" t="str">
        <f aca="false">"минимум "&amp;(FIXED(KPI_мин_деньги,0))&amp;" ₽ ("&amp;(KPI_мин_деньги_мес)&amp;")"</f>
        <v>минимум 69,243 ₽ (Мар 2027)</v>
      </c>
      <c r="O7" s="23"/>
      <c r="P7" s="23"/>
      <c r="R7" s="8" t="s">
        <v>53</v>
      </c>
      <c r="S7" s="22" t="n">
        <f aca="false">Выручка!H25</f>
        <v>0</v>
      </c>
      <c r="T7" s="22" t="n">
        <f aca="false">Выручка!I25</f>
        <v>0</v>
      </c>
      <c r="U7" s="22" t="n">
        <f aca="false">Выручка!J25</f>
        <v>0</v>
      </c>
      <c r="V7" s="22" t="n">
        <f aca="false">Выручка!K25</f>
        <v>0</v>
      </c>
      <c r="W7" s="22" t="n">
        <f aca="false">Выручка!L25</f>
        <v>4320</v>
      </c>
      <c r="X7" s="22" t="n">
        <f aca="false">Выручка!M25</f>
        <v>8748</v>
      </c>
      <c r="Y7" s="22" t="n">
        <f aca="false">Выручка!N25</f>
        <v>14940</v>
      </c>
      <c r="Z7" s="22" t="n">
        <f aca="false">Выручка!O25</f>
        <v>21420</v>
      </c>
      <c r="AA7" s="22" t="n">
        <f aca="false">Выручка!P25</f>
        <v>27864</v>
      </c>
      <c r="AB7" s="22" t="n">
        <f aca="false">Выручка!Q25</f>
        <v>37584</v>
      </c>
      <c r="AC7" s="22" t="n">
        <f aca="false">Выручка!R25</f>
        <v>50688</v>
      </c>
      <c r="AD7" s="22" t="n">
        <f aca="false">Выручка!S25</f>
        <v>64800</v>
      </c>
    </row>
    <row r="8" customFormat="false" ht="14.25" hidden="false" customHeight="false" outlineLevel="0" collapsed="false">
      <c r="R8" s="8" t="s">
        <v>54</v>
      </c>
      <c r="S8" s="22" t="n">
        <f aca="false">Выручка!H31</f>
        <v>0</v>
      </c>
      <c r="T8" s="22" t="n">
        <f aca="false">Выручка!I31</f>
        <v>0</v>
      </c>
      <c r="U8" s="22" t="n">
        <f aca="false">Выручка!J31</f>
        <v>0</v>
      </c>
      <c r="V8" s="22" t="n">
        <f aca="false">Выручка!K31</f>
        <v>0</v>
      </c>
      <c r="W8" s="22" t="n">
        <f aca="false">Выручка!L31</f>
        <v>3251.6</v>
      </c>
      <c r="X8" s="22" t="n">
        <f aca="false">Выручка!M31</f>
        <v>7163.2</v>
      </c>
      <c r="Y8" s="22" t="n">
        <f aca="false">Выручка!N31</f>
        <v>12752.8</v>
      </c>
      <c r="Z8" s="22" t="n">
        <f aca="false">Выручка!O31</f>
        <v>19353.6</v>
      </c>
      <c r="AA8" s="22" t="n">
        <f aca="false">Выручка!P31</f>
        <v>27381.2</v>
      </c>
      <c r="AB8" s="22" t="n">
        <f aca="false">Выручка!Q31</f>
        <v>40564.8</v>
      </c>
      <c r="AC8" s="22" t="n">
        <f aca="false">Выручка!R31</f>
        <v>58611.2</v>
      </c>
      <c r="AD8" s="22" t="n">
        <f aca="false">Выручка!S31</f>
        <v>79120</v>
      </c>
    </row>
    <row r="9" customFormat="false" ht="16.5" hidden="false" customHeight="true" outlineLevel="0" collapsed="false">
      <c r="B9" s="18" t="s">
        <v>55</v>
      </c>
      <c r="C9" s="18"/>
      <c r="D9" s="18"/>
      <c r="F9" s="18" t="s">
        <v>56</v>
      </c>
      <c r="G9" s="18"/>
      <c r="H9" s="18"/>
      <c r="J9" s="18" t="s">
        <v>57</v>
      </c>
      <c r="K9" s="18"/>
      <c r="L9" s="18"/>
      <c r="N9" s="18" t="s">
        <v>58</v>
      </c>
      <c r="O9" s="18"/>
      <c r="P9" s="18"/>
      <c r="R9" s="8" t="s">
        <v>59</v>
      </c>
      <c r="S9" s="22" t="n">
        <f aca="false">Выручка!H13</f>
        <v>0</v>
      </c>
      <c r="T9" s="22" t="n">
        <f aca="false">Выручка!I13</f>
        <v>0</v>
      </c>
      <c r="U9" s="22" t="n">
        <f aca="false">Выручка!J13</f>
        <v>0</v>
      </c>
      <c r="V9" s="22" t="n">
        <f aca="false">Выручка!K13</f>
        <v>0</v>
      </c>
      <c r="W9" s="22" t="n">
        <f aca="false">Выручка!L13</f>
        <v>1500</v>
      </c>
      <c r="X9" s="22" t="n">
        <f aca="false">Выручка!M13</f>
        <v>3000</v>
      </c>
      <c r="Y9" s="22" t="n">
        <f aca="false">Выручка!N13</f>
        <v>5000</v>
      </c>
      <c r="Z9" s="22" t="n">
        <f aca="false">Выручка!O13</f>
        <v>7000</v>
      </c>
      <c r="AA9" s="22" t="n">
        <f aca="false">Выручка!P13</f>
        <v>9000</v>
      </c>
      <c r="AB9" s="22" t="n">
        <f aca="false">Выручка!Q13</f>
        <v>12000</v>
      </c>
      <c r="AC9" s="22" t="n">
        <f aca="false">Выручка!R13</f>
        <v>16000</v>
      </c>
      <c r="AD9" s="22" t="n">
        <f aca="false">Выручка!S13</f>
        <v>20000</v>
      </c>
    </row>
    <row r="10" customFormat="false" ht="30" hidden="false" customHeight="true" outlineLevel="0" collapsed="false">
      <c r="B10" s="24" t="n">
        <f aca="false">KPI_ROI</f>
        <v>0.5531757</v>
      </c>
      <c r="C10" s="24"/>
      <c r="D10" s="24"/>
      <c r="F10" s="25" t="str">
        <f aca="false">FIXED(BEP_MAU,0)&amp;" MAU"</f>
        <v>6,236 MAU</v>
      </c>
      <c r="G10" s="25"/>
      <c r="H10" s="25"/>
      <c r="J10" s="25" t="str">
        <f aca="false">IF(ISNUMBER(PP_docx),FIXED(PP_docx,1)&amp;" мес.","&gt; 12 мес.")</f>
        <v>11.0 мес.</v>
      </c>
      <c r="K10" s="25"/>
      <c r="L10" s="25"/>
      <c r="N10" s="21" t="n">
        <f aca="false">ЧДД</f>
        <v>79741.2649506605</v>
      </c>
      <c r="O10" s="21"/>
      <c r="P10" s="21"/>
      <c r="R10" s="8" t="s">
        <v>48</v>
      </c>
      <c r="S10" s="22" t="n">
        <f aca="false">ОПиУ!H26</f>
        <v>-4000</v>
      </c>
      <c r="T10" s="22" t="n">
        <f aca="false">ОПиУ!I26</f>
        <v>-6000</v>
      </c>
      <c r="U10" s="22" t="n">
        <f aca="false">ОПиУ!J26</f>
        <v>-16000</v>
      </c>
      <c r="V10" s="22" t="n">
        <f aca="false">ОПиУ!K26</f>
        <v>-26000</v>
      </c>
      <c r="W10" s="22" t="n">
        <f aca="false">ОПиУ!L26</f>
        <v>-37093.64</v>
      </c>
      <c r="X10" s="22" t="n">
        <f aca="false">ОПиУ!M26</f>
        <v>-27518.28</v>
      </c>
      <c r="Y10" s="22" t="n">
        <f aca="false">ОПиУ!N26</f>
        <v>-14145.12</v>
      </c>
      <c r="Z10" s="22" t="n">
        <f aca="false">ОПиУ!O26</f>
        <v>375.560000000005</v>
      </c>
      <c r="AA10" s="22" t="n">
        <f aca="false">ОПиУ!P26</f>
        <v>16073.02</v>
      </c>
      <c r="AB10" s="22" t="n">
        <f aca="false">ОПиУ!Q26</f>
        <v>40644.08</v>
      </c>
      <c r="AC10" s="22" t="n">
        <f aca="false">ОПиУ!R26</f>
        <v>73947.52</v>
      </c>
      <c r="AD10" s="22" t="n">
        <f aca="false">ОПиУ!S26</f>
        <v>110352</v>
      </c>
    </row>
    <row r="11" customFormat="false" ht="15.75" hidden="false" customHeight="true" outlineLevel="0" collapsed="false">
      <c r="B11" s="23" t="str">
        <f aca="false">"вложено "&amp;FIXED(Собств_капитал,0)&amp;" ₽ собственных средств"</f>
        <v>вложено 200,000 ₽ собственных средств</v>
      </c>
      <c r="C11" s="23"/>
      <c r="D11" s="23"/>
      <c r="F11" s="23" t="str">
        <f aca="false">"EBITDA ≥ 0 с: "&amp;(BEP_месяц)</f>
        <v>EBITDA ≥ 0 с: Апр 2027</v>
      </c>
      <c r="G11" s="23"/>
      <c r="H11" s="23"/>
      <c r="J11" s="23" t="str">
        <f aca="false">"выход в плюс: "&amp;(PP_docx_мес)&amp;"; проект: "&amp;(IF(ISNUMBER(PP_проект),FIXED(PP_проект,1)&amp;" мес.","&gt; 12 мес."))</f>
        <v>выход в плюс: Июл 2027; проект: 11.0 мес.</v>
      </c>
      <c r="K11" s="23"/>
      <c r="L11" s="23"/>
      <c r="N11" s="23" t="str">
        <f aca="false">"ВНД "&amp;(IF(ISNUMBER(ВНД),FIXED(ВНД*100,0)&amp;"% годовых",ВНД))&amp;", ставка "&amp;(FIXED((Ставка_дисконта)*100,0)&amp;"%")</f>
        <v>ВНД 211% годовых, ставка 22%</v>
      </c>
      <c r="O11" s="23"/>
      <c r="P11" s="23"/>
      <c r="R11" s="8" t="s">
        <v>12</v>
      </c>
      <c r="S11" s="22" t="n">
        <f aca="false">ОПиУ!H31</f>
        <v>-4000</v>
      </c>
      <c r="T11" s="22" t="n">
        <f aca="false">ОПиУ!I31</f>
        <v>-6000</v>
      </c>
      <c r="U11" s="22" t="n">
        <f aca="false">ОПиУ!J31</f>
        <v>-16000</v>
      </c>
      <c r="V11" s="22" t="n">
        <f aca="false">ОПиУ!K31</f>
        <v>-26000</v>
      </c>
      <c r="W11" s="22" t="n">
        <f aca="false">ОПиУ!L31</f>
        <v>-37093.64</v>
      </c>
      <c r="X11" s="22" t="n">
        <f aca="false">ОПиУ!M31</f>
        <v>-27518.28</v>
      </c>
      <c r="Y11" s="22" t="n">
        <f aca="false">ОПиУ!N31</f>
        <v>-14145.12</v>
      </c>
      <c r="Z11" s="22" t="n">
        <f aca="false">ОПиУ!O31</f>
        <v>375.560000000005</v>
      </c>
      <c r="AA11" s="22" t="n">
        <f aca="false">ОПиУ!P31</f>
        <v>16073.02</v>
      </c>
      <c r="AB11" s="22" t="n">
        <f aca="false">ОПиУ!Q31</f>
        <v>40644.08</v>
      </c>
      <c r="AC11" s="22" t="n">
        <f aca="false">ОПиУ!R31</f>
        <v>73947.52</v>
      </c>
      <c r="AD11" s="22" t="n">
        <f aca="false">ОПиУ!S31</f>
        <v>110352</v>
      </c>
    </row>
    <row r="12" customFormat="false" ht="14.25" hidden="false" customHeight="false" outlineLevel="0" collapsed="false">
      <c r="R12" s="8" t="s">
        <v>60</v>
      </c>
      <c r="S12" s="22" t="n">
        <f aca="false">ДДС!H25</f>
        <v>196000</v>
      </c>
      <c r="T12" s="22" t="n">
        <f aca="false">ДДС!I25</f>
        <v>-6000</v>
      </c>
      <c r="U12" s="22" t="n">
        <f aca="false">ДДС!J25</f>
        <v>-16000</v>
      </c>
      <c r="V12" s="22" t="n">
        <f aca="false">ДДС!K25</f>
        <v>-26000</v>
      </c>
      <c r="W12" s="22" t="n">
        <f aca="false">ДДС!L25</f>
        <v>-37093.64</v>
      </c>
      <c r="X12" s="22" t="n">
        <f aca="false">ДДС!M25</f>
        <v>-27518.28</v>
      </c>
      <c r="Y12" s="22" t="n">
        <f aca="false">ДДС!N25</f>
        <v>-14145.12</v>
      </c>
      <c r="Z12" s="22" t="n">
        <f aca="false">ДДС!O25</f>
        <v>375.560000000005</v>
      </c>
      <c r="AA12" s="22" t="n">
        <f aca="false">ДДС!P25</f>
        <v>16073.02</v>
      </c>
      <c r="AB12" s="22" t="n">
        <f aca="false">ДДС!Q25</f>
        <v>40644.08</v>
      </c>
      <c r="AC12" s="22" t="n">
        <f aca="false">ДДС!R25</f>
        <v>73947.52</v>
      </c>
      <c r="AD12" s="22" t="n">
        <f aca="false">ДДС!S25</f>
        <v>110352</v>
      </c>
    </row>
    <row r="13" customFormat="false" ht="14.25" hidden="false" customHeight="false" outlineLevel="0" collapsed="false">
      <c r="R13" s="8" t="s">
        <v>61</v>
      </c>
      <c r="S13" s="22" t="n">
        <f aca="false">ДДС!H27</f>
        <v>196000</v>
      </c>
      <c r="T13" s="22" t="n">
        <f aca="false">ДДС!I27</f>
        <v>190000</v>
      </c>
      <c r="U13" s="22" t="n">
        <f aca="false">ДДС!J27</f>
        <v>174000</v>
      </c>
      <c r="V13" s="22" t="n">
        <f aca="false">ДДС!K27</f>
        <v>148000</v>
      </c>
      <c r="W13" s="22" t="n">
        <f aca="false">ДДС!L27</f>
        <v>110906.36</v>
      </c>
      <c r="X13" s="22" t="n">
        <f aca="false">ДДС!M27</f>
        <v>83388.08</v>
      </c>
      <c r="Y13" s="22" t="n">
        <f aca="false">ДДС!N27</f>
        <v>69242.96</v>
      </c>
      <c r="Z13" s="22" t="n">
        <f aca="false">ДДС!O27</f>
        <v>69618.52</v>
      </c>
      <c r="AA13" s="22" t="n">
        <f aca="false">ДДС!P27</f>
        <v>85691.54</v>
      </c>
      <c r="AB13" s="22" t="n">
        <f aca="false">ДДС!Q27</f>
        <v>126335.62</v>
      </c>
      <c r="AC13" s="22" t="n">
        <f aca="false">ДДС!R27</f>
        <v>200283.14</v>
      </c>
      <c r="AD13" s="22" t="n">
        <f aca="false">ДДС!S27</f>
        <v>310635.14</v>
      </c>
    </row>
    <row r="14" customFormat="false" ht="14.25" hidden="false" customHeight="false" outlineLevel="0" collapsed="false">
      <c r="R14" s="8" t="s">
        <v>62</v>
      </c>
      <c r="S14" s="22" t="n">
        <f aca="false">Показатели!H122</f>
        <v>-4000</v>
      </c>
      <c r="T14" s="22" t="n">
        <f aca="false">Показатели!I122</f>
        <v>-10000</v>
      </c>
      <c r="U14" s="22" t="n">
        <f aca="false">Показатели!J122</f>
        <v>-26000</v>
      </c>
      <c r="V14" s="22" t="n">
        <f aca="false">Показатели!K122</f>
        <v>-52000</v>
      </c>
      <c r="W14" s="22" t="n">
        <f aca="false">Показатели!L122</f>
        <v>-89093.64</v>
      </c>
      <c r="X14" s="22" t="n">
        <f aca="false">Показатели!M122</f>
        <v>-116611.92</v>
      </c>
      <c r="Y14" s="22" t="n">
        <f aca="false">Показатели!N122</f>
        <v>-130757.04</v>
      </c>
      <c r="Z14" s="22" t="n">
        <f aca="false">Показатели!O122</f>
        <v>-130381.48</v>
      </c>
      <c r="AA14" s="22" t="n">
        <f aca="false">Показатели!P122</f>
        <v>-114308.46</v>
      </c>
      <c r="AB14" s="22" t="n">
        <f aca="false">Показатели!Q122</f>
        <v>-73664.38</v>
      </c>
      <c r="AC14" s="22" t="n">
        <f aca="false">Показатели!R122</f>
        <v>283.140000000029</v>
      </c>
      <c r="AD14" s="22" t="n">
        <f aca="false">Показатели!S122</f>
        <v>110635.14</v>
      </c>
    </row>
    <row r="15" customFormat="false" ht="14.25" hidden="false" customHeight="false" outlineLevel="0" collapsed="false">
      <c r="R15" s="26" t="s">
        <v>63</v>
      </c>
      <c r="S15" s="27" t="str">
        <f aca="false">CHOOSE(MONTH(Выручка!H$7),"Янв","Фев","Мар","Апр","Май","Июн","Июл","Авг","Сен","Окт","Ноя","Дек")&amp;" "&amp;RIGHT(YEAR(Выручка!H$7),2)</f>
        <v>Сен 26</v>
      </c>
      <c r="T15" s="27" t="str">
        <f aca="false">CHOOSE(MONTH(Выручка!I$7),"Янв","Фев","Мар","Апр","Май","Июн","Июл","Авг","Сен","Окт","Ноя","Дек")&amp;" "&amp;RIGHT(YEAR(Выручка!I$7),2)</f>
        <v>Окт 26</v>
      </c>
      <c r="U15" s="27" t="str">
        <f aca="false">CHOOSE(MONTH(Выручка!J$7),"Янв","Фев","Мар","Апр","Май","Июн","Июл","Авг","Сен","Окт","Ноя","Дек")&amp;" "&amp;RIGHT(YEAR(Выручка!J$7),2)</f>
        <v>Ноя 26</v>
      </c>
      <c r="V15" s="27" t="str">
        <f aca="false">CHOOSE(MONTH(Выручка!K$7),"Янв","Фев","Мар","Апр","Май","Июн","Июл","Авг","Сен","Окт","Ноя","Дек")&amp;" "&amp;RIGHT(YEAR(Выручка!K$7),2)</f>
        <v>Дек 26</v>
      </c>
      <c r="W15" s="27" t="str">
        <f aca="false">CHOOSE(MONTH(Выручка!L$7),"Янв","Фев","Мар","Апр","Май","Июн","Июл","Авг","Сен","Окт","Ноя","Дек")&amp;" "&amp;RIGHT(YEAR(Выручка!L$7),2)</f>
        <v>Янв 27</v>
      </c>
      <c r="X15" s="27" t="str">
        <f aca="false">CHOOSE(MONTH(Выручка!M$7),"Янв","Фев","Мар","Апр","Май","Июн","Июл","Авг","Сен","Окт","Ноя","Дек")&amp;" "&amp;RIGHT(YEAR(Выручка!M$7),2)</f>
        <v>Фев 27</v>
      </c>
      <c r="Y15" s="27" t="str">
        <f aca="false">CHOOSE(MONTH(Выручка!N$7),"Янв","Фев","Мар","Апр","Май","Июн","Июл","Авг","Сен","Окт","Ноя","Дек")&amp;" "&amp;RIGHT(YEAR(Выручка!N$7),2)</f>
        <v>Мар 27</v>
      </c>
      <c r="Z15" s="27" t="str">
        <f aca="false">CHOOSE(MONTH(Выручка!O$7),"Янв","Фев","Мар","Апр","Май","Июн","Июл","Авг","Сен","Окт","Ноя","Дек")&amp;" "&amp;RIGHT(YEAR(Выручка!O$7),2)</f>
        <v>Апр 27</v>
      </c>
      <c r="AA15" s="27" t="str">
        <f aca="false">CHOOSE(MONTH(Выручка!P$7),"Янв","Фев","Мар","Апр","Май","Июн","Июл","Авг","Сен","Окт","Ноя","Дек")&amp;" "&amp;RIGHT(YEAR(Выручка!P$7),2)</f>
        <v>Май 27</v>
      </c>
      <c r="AB15" s="27" t="str">
        <f aca="false">CHOOSE(MONTH(Выручка!Q$7),"Янв","Фев","Мар","Апр","Май","Июн","Июл","Авг","Сен","Окт","Ноя","Дек")&amp;" "&amp;RIGHT(YEAR(Выручка!Q$7),2)</f>
        <v>Июн 27</v>
      </c>
      <c r="AC15" s="27" t="str">
        <f aca="false">CHOOSE(MONTH(Выручка!R$7),"Янв","Фев","Мар","Апр","Май","Июн","Июл","Авг","Сен","Окт","Ноя","Дек")&amp;" "&amp;RIGHT(YEAR(Выручка!R$7),2)</f>
        <v>Июл 27</v>
      </c>
      <c r="AD15" s="27" t="str">
        <f aca="false">CHOOSE(MONTH(Выручка!S$7),"Янв","Фев","Мар","Апр","Май","Июн","Июл","Авг","Сен","Окт","Ноя","Дек")&amp;" "&amp;RIGHT(YEAR(Выручка!S$7),2)</f>
        <v>Авг 27</v>
      </c>
    </row>
    <row r="46" customFormat="false" ht="14.25" hidden="false" customHeight="false" outlineLevel="0" collapsed="false">
      <c r="B46" s="15" t="s">
        <v>64</v>
      </c>
    </row>
  </sheetData>
  <mergeCells count="24">
    <mergeCell ref="B5:D5"/>
    <mergeCell ref="F5:H5"/>
    <mergeCell ref="J5:L5"/>
    <mergeCell ref="N5:P5"/>
    <mergeCell ref="B6:D6"/>
    <mergeCell ref="F6:H6"/>
    <mergeCell ref="J6:L6"/>
    <mergeCell ref="N6:P6"/>
    <mergeCell ref="B7:D7"/>
    <mergeCell ref="F7:H7"/>
    <mergeCell ref="J7:L7"/>
    <mergeCell ref="N7:P7"/>
    <mergeCell ref="B9:D9"/>
    <mergeCell ref="F9:H9"/>
    <mergeCell ref="J9:L9"/>
    <mergeCell ref="N9:P9"/>
    <mergeCell ref="B10:D10"/>
    <mergeCell ref="F10:H10"/>
    <mergeCell ref="J10:L10"/>
    <mergeCell ref="N10:P10"/>
    <mergeCell ref="B11:D11"/>
    <mergeCell ref="F11:H11"/>
    <mergeCell ref="J11:L11"/>
    <mergeCell ref="N11:P11"/>
  </mergeCells>
  <conditionalFormatting sqref="J6">
    <cfRule type="expression" priority="2" aboveAverage="0" equalAverage="0" bottom="0" percent="0" rank="0" text="" dxfId="3">
      <formula>$J$6&lt;0</formula>
    </cfRule>
  </conditionalFormatting>
  <conditionalFormatting sqref="N6">
    <cfRule type="expression" priority="3" aboveAverage="0" equalAverage="0" bottom="0" percent="0" rank="0" text="" dxfId="4">
      <formula>$N$6&lt;0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B2:P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3" activePane="bottomLeft" state="frozen"/>
      <selection pane="topLeft" activeCell="A1" activeCellId="0" sqref="A1"/>
      <selection pane="bottomLeft" activeCell="H59" activeCellId="0" sqref="H59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1" width="1.44"/>
    <col collapsed="false" customWidth="true" hidden="false" outlineLevel="0" max="2" min="2" style="1" width="50"/>
    <col collapsed="false" customWidth="true" hidden="false" outlineLevel="0" max="3" min="3" style="1" width="20"/>
    <col collapsed="false" customWidth="true" hidden="false" outlineLevel="0" max="4" min="4" style="1" width="11"/>
    <col collapsed="false" customWidth="true" hidden="false" outlineLevel="0" max="5" min="5" style="1" width="14"/>
    <col collapsed="false" customWidth="true" hidden="false" outlineLevel="0" max="16" min="6" style="1" width="10.44"/>
    <col collapsed="false" customWidth="true" hidden="false" outlineLevel="0" max="17" min="17" style="1" width="2"/>
  </cols>
  <sheetData>
    <row r="2" customFormat="false" ht="24" hidden="false" customHeight="true" outlineLevel="0" collapsed="false">
      <c r="B2" s="16" t="s">
        <v>65</v>
      </c>
      <c r="C2" s="16"/>
    </row>
    <row r="3" customFormat="false" ht="14.25" hidden="false" customHeight="false" outlineLevel="0" collapsed="false">
      <c r="B3" s="5" t="s">
        <v>66</v>
      </c>
      <c r="C3" s="5"/>
    </row>
    <row r="5" customFormat="false" ht="16.5" hidden="false" customHeight="true" outlineLevel="0" collapsed="false">
      <c r="B5" s="6" t="s">
        <v>67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customFormat="false" ht="14.25" hidden="false" customHeight="false" outlineLevel="0" collapsed="false">
      <c r="B6" s="28" t="s">
        <v>68</v>
      </c>
      <c r="C6" s="28"/>
      <c r="D6" s="27"/>
      <c r="E6" s="29" t="s">
        <v>69</v>
      </c>
      <c r="F6" s="15" t="s">
        <v>0</v>
      </c>
    </row>
    <row r="7" customFormat="false" ht="14.25" hidden="false" customHeight="false" outlineLevel="0" collapsed="false">
      <c r="B7" s="28" t="s">
        <v>70</v>
      </c>
      <c r="C7" s="28"/>
      <c r="D7" s="27" t="s">
        <v>71</v>
      </c>
      <c r="E7" s="30" t="n">
        <v>46266</v>
      </c>
      <c r="F7" s="15" t="s">
        <v>72</v>
      </c>
    </row>
    <row r="8" customFormat="false" ht="14.25" hidden="false" customHeight="false" outlineLevel="0" collapsed="false">
      <c r="B8" s="28" t="s">
        <v>73</v>
      </c>
      <c r="C8" s="28"/>
      <c r="D8" s="27" t="s">
        <v>74</v>
      </c>
      <c r="E8" s="31" t="n">
        <v>12</v>
      </c>
      <c r="F8" s="15" t="s">
        <v>75</v>
      </c>
    </row>
    <row r="9" customFormat="false" ht="14.25" hidden="false" customHeight="false" outlineLevel="0" collapsed="false">
      <c r="B9" s="28" t="s">
        <v>76</v>
      </c>
      <c r="C9" s="28"/>
      <c r="D9" s="27" t="s">
        <v>74</v>
      </c>
      <c r="E9" s="32" t="n">
        <v>4</v>
      </c>
      <c r="F9" s="15" t="s">
        <v>77</v>
      </c>
    </row>
    <row r="10" customFormat="false" ht="14.25" hidden="false" customHeight="false" outlineLevel="0" collapsed="false">
      <c r="B10" s="28" t="s">
        <v>78</v>
      </c>
      <c r="C10" s="28"/>
      <c r="D10" s="27" t="s">
        <v>74</v>
      </c>
      <c r="E10" s="32" t="n">
        <v>0</v>
      </c>
      <c r="F10" s="15" t="s">
        <v>79</v>
      </c>
    </row>
    <row r="11" customFormat="false" ht="14.25" hidden="false" customHeight="false" outlineLevel="0" collapsed="false">
      <c r="B11" s="8" t="s">
        <v>80</v>
      </c>
      <c r="C11" s="8"/>
      <c r="E11" s="33" t="str">
        <f aca="false">IF(Мес_разработки+Задержка_релиза&gt;=12,"за горизонтом",CHOOSE(MONTH(DATE(YEAR(Дата_начала),MONTH(Дата_начала)+Мес_разработки+Задержка_релиза,1)),"Янв","Фев","Мар","Апр","Май","Июн","Июл","Авг","Сен","Окт","Ноя","Дек")&amp;" "&amp;YEAR(DATE(YEAR(Дата_начала),MONTH(Дата_начала)+Мес_разработки+Задержка_релиза,1)))</f>
        <v>Янв 2027</v>
      </c>
    </row>
    <row r="12" customFormat="false" ht="14.25" hidden="false" customHeight="false" outlineLevel="0" collapsed="false">
      <c r="B12" s="28" t="s">
        <v>81</v>
      </c>
      <c r="C12" s="28"/>
      <c r="D12" s="27" t="s">
        <v>82</v>
      </c>
      <c r="E12" s="32" t="n">
        <v>30</v>
      </c>
      <c r="F12" s="15" t="s">
        <v>83</v>
      </c>
    </row>
    <row r="13" customFormat="false" ht="14.25" hidden="false" customHeight="false" outlineLevel="0" collapsed="false">
      <c r="B13" s="28" t="s">
        <v>6</v>
      </c>
      <c r="C13" s="28"/>
      <c r="D13" s="27"/>
      <c r="E13" s="34" t="s">
        <v>84</v>
      </c>
    </row>
    <row r="15" customFormat="false" ht="16.5" hidden="false" customHeight="true" outlineLevel="0" collapsed="false">
      <c r="B15" s="6" t="s">
        <v>85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customFormat="false" ht="14.25" hidden="false" customHeight="false" outlineLevel="0" collapsed="false">
      <c r="B16" s="28" t="s">
        <v>86</v>
      </c>
      <c r="C16" s="28"/>
      <c r="D16" s="27" t="s">
        <v>87</v>
      </c>
      <c r="E16" s="32" t="n">
        <v>4</v>
      </c>
      <c r="F16" s="15" t="s">
        <v>88</v>
      </c>
    </row>
    <row r="17" customFormat="false" ht="14.25" hidden="false" customHeight="false" outlineLevel="0" collapsed="false">
      <c r="B17" s="28" t="s">
        <v>89</v>
      </c>
      <c r="C17" s="28"/>
      <c r="D17" s="27" t="s">
        <v>90</v>
      </c>
      <c r="E17" s="35" t="n">
        <v>50000</v>
      </c>
      <c r="F17" s="15" t="s">
        <v>91</v>
      </c>
    </row>
    <row r="18" customFormat="false" ht="14.25" hidden="false" customHeight="false" outlineLevel="0" collapsed="false">
      <c r="B18" s="28" t="s">
        <v>92</v>
      </c>
      <c r="C18" s="28"/>
      <c r="D18" s="27" t="s">
        <v>90</v>
      </c>
      <c r="E18" s="36" t="n">
        <f aca="false">Участников*Взнос_участника</f>
        <v>200000</v>
      </c>
      <c r="F18" s="15" t="s">
        <v>93</v>
      </c>
    </row>
    <row r="19" customFormat="false" ht="14.25" hidden="false" customHeight="false" outlineLevel="0" collapsed="false">
      <c r="B19" s="28" t="s">
        <v>94</v>
      </c>
      <c r="C19" s="28"/>
      <c r="D19" s="27" t="s">
        <v>95</v>
      </c>
      <c r="E19" s="32" t="n">
        <v>1</v>
      </c>
    </row>
    <row r="20" customFormat="false" ht="14.25" hidden="true" customHeight="false" outlineLevel="0" collapsed="false">
      <c r="B20" s="28" t="s">
        <v>96</v>
      </c>
      <c r="C20" s="28"/>
      <c r="D20" s="27"/>
      <c r="E20" s="29"/>
    </row>
    <row r="21" customFormat="false" ht="14.25" hidden="true" customHeight="false" outlineLevel="0" collapsed="false">
      <c r="B21" s="28" t="s">
        <v>97</v>
      </c>
      <c r="C21" s="28"/>
      <c r="D21" s="27" t="s">
        <v>90</v>
      </c>
      <c r="E21" s="35"/>
      <c r="F21" s="15"/>
    </row>
    <row r="22" customFormat="false" ht="14.25" hidden="true" customHeight="false" outlineLevel="0" collapsed="false">
      <c r="B22" s="28" t="s">
        <v>98</v>
      </c>
      <c r="C22" s="28"/>
      <c r="D22" s="27" t="s">
        <v>99</v>
      </c>
      <c r="E22" s="37"/>
      <c r="F22" s="15"/>
    </row>
    <row r="23" customFormat="false" ht="14.25" hidden="true" customHeight="false" outlineLevel="0" collapsed="false">
      <c r="B23" s="28" t="s">
        <v>100</v>
      </c>
      <c r="C23" s="28"/>
      <c r="D23" s="27" t="s">
        <v>74</v>
      </c>
      <c r="E23" s="32"/>
      <c r="F23" s="15"/>
    </row>
    <row r="24" customFormat="false" ht="14.25" hidden="true" customHeight="false" outlineLevel="0" collapsed="false">
      <c r="B24" s="28" t="s">
        <v>101</v>
      </c>
      <c r="C24" s="28"/>
      <c r="D24" s="27" t="s">
        <v>74</v>
      </c>
      <c r="E24" s="32"/>
      <c r="F24" s="15"/>
    </row>
    <row r="25" customFormat="false" ht="14.25" hidden="true" customHeight="false" outlineLevel="0" collapsed="false">
      <c r="B25" s="28" t="s">
        <v>102</v>
      </c>
      <c r="C25" s="28"/>
      <c r="D25" s="27" t="s">
        <v>95</v>
      </c>
      <c r="E25" s="32"/>
    </row>
    <row r="26" customFormat="false" ht="14.25" hidden="false" customHeight="false" outlineLevel="0" collapsed="false">
      <c r="B26" s="28" t="s">
        <v>103</v>
      </c>
      <c r="C26" s="28"/>
      <c r="D26" s="27" t="s">
        <v>90</v>
      </c>
      <c r="E26" s="36" t="n">
        <f aca="false">Собств_капитал</f>
        <v>200000</v>
      </c>
      <c r="F26" s="15" t="s">
        <v>104</v>
      </c>
    </row>
    <row r="27" customFormat="false" ht="14.25" hidden="true" customHeight="false" outlineLevel="0" collapsed="false">
      <c r="B27" s="28" t="s">
        <v>105</v>
      </c>
      <c r="C27" s="28"/>
      <c r="D27" s="27" t="s">
        <v>106</v>
      </c>
      <c r="E27" s="38" t="n">
        <f aca="false">IF(Финансирование&gt;0,Собств_капитал/Финансирование,0)</f>
        <v>1</v>
      </c>
      <c r="F27" s="15" t="s">
        <v>107</v>
      </c>
    </row>
    <row r="29" customFormat="false" ht="16.5" hidden="false" customHeight="true" outlineLevel="0" collapsed="false">
      <c r="B29" s="6" t="s">
        <v>108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customFormat="false" ht="14.25" hidden="false" customHeight="false" outlineLevel="0" collapsed="false">
      <c r="B30" s="28" t="s">
        <v>109</v>
      </c>
      <c r="C30" s="28"/>
      <c r="D30" s="27" t="s">
        <v>106</v>
      </c>
      <c r="E30" s="39" t="n">
        <v>0.3</v>
      </c>
      <c r="F30" s="40" t="s">
        <v>110</v>
      </c>
    </row>
    <row r="31" customFormat="false" ht="14.25" hidden="false" customHeight="false" outlineLevel="0" collapsed="false">
      <c r="B31" s="28" t="s">
        <v>111</v>
      </c>
      <c r="C31" s="28"/>
      <c r="D31" s="27" t="s">
        <v>106</v>
      </c>
      <c r="E31" s="37" t="n">
        <v>0.9</v>
      </c>
      <c r="F31" s="15" t="s">
        <v>112</v>
      </c>
    </row>
    <row r="32" customFormat="false" ht="14.25" hidden="false" customHeight="false" outlineLevel="0" collapsed="false">
      <c r="B32" s="28" t="s">
        <v>113</v>
      </c>
      <c r="C32" s="28"/>
      <c r="D32" s="27" t="s">
        <v>114</v>
      </c>
      <c r="E32" s="41" t="n">
        <v>1.5</v>
      </c>
      <c r="F32" s="15" t="s">
        <v>115</v>
      </c>
    </row>
    <row r="33" customFormat="false" ht="14.25" hidden="false" customHeight="false" outlineLevel="0" collapsed="false">
      <c r="B33" s="28" t="s">
        <v>116</v>
      </c>
      <c r="C33" s="28"/>
      <c r="D33" s="27" t="s">
        <v>90</v>
      </c>
      <c r="E33" s="35" t="n">
        <v>150</v>
      </c>
      <c r="F33" s="15" t="s">
        <v>117</v>
      </c>
    </row>
    <row r="34" customFormat="false" ht="14.25" hidden="false" customHeight="false" outlineLevel="0" collapsed="false">
      <c r="B34" s="28" t="s">
        <v>118</v>
      </c>
      <c r="C34" s="28"/>
      <c r="D34" s="27" t="s">
        <v>114</v>
      </c>
      <c r="E34" s="41" t="n">
        <v>2</v>
      </c>
      <c r="F34" s="15" t="s">
        <v>119</v>
      </c>
    </row>
    <row r="35" customFormat="false" ht="14.25" hidden="false" customHeight="false" outlineLevel="0" collapsed="false">
      <c r="B35" s="28" t="s">
        <v>120</v>
      </c>
      <c r="C35" s="28"/>
      <c r="D35" s="27" t="s">
        <v>90</v>
      </c>
      <c r="E35" s="35" t="n">
        <v>200</v>
      </c>
      <c r="F35" s="15" t="s">
        <v>121</v>
      </c>
    </row>
    <row r="36" customFormat="false" ht="14.25" hidden="false" customHeight="false" outlineLevel="0" collapsed="false">
      <c r="B36" s="28" t="s">
        <v>122</v>
      </c>
      <c r="C36" s="28"/>
      <c r="D36" s="27" t="s">
        <v>106</v>
      </c>
      <c r="E36" s="39" t="n">
        <v>0.15</v>
      </c>
      <c r="F36" s="40" t="s">
        <v>123</v>
      </c>
    </row>
    <row r="37" customFormat="false" ht="14.25" hidden="false" customHeight="false" outlineLevel="0" collapsed="false">
      <c r="B37" s="28" t="s">
        <v>124</v>
      </c>
      <c r="C37" s="28"/>
      <c r="D37" s="27" t="s">
        <v>74</v>
      </c>
      <c r="E37" s="42" t="n">
        <v>0</v>
      </c>
      <c r="F37" s="40" t="s">
        <v>125</v>
      </c>
    </row>
    <row r="39" customFormat="false" ht="16.5" hidden="false" customHeight="true" outlineLevel="0" collapsed="false">
      <c r="B39" s="6" t="s">
        <v>126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customFormat="false" ht="18" hidden="false" customHeight="true" outlineLevel="0" collapsed="false">
      <c r="B40" s="19" t="s">
        <v>127</v>
      </c>
      <c r="C40" s="19"/>
      <c r="D40" s="20" t="s">
        <v>128</v>
      </c>
      <c r="E40" s="43" t="n">
        <v>1</v>
      </c>
      <c r="F40" s="43" t="n">
        <v>2</v>
      </c>
      <c r="G40" s="43" t="n">
        <v>3</v>
      </c>
      <c r="H40" s="43" t="n">
        <v>4</v>
      </c>
      <c r="I40" s="43" t="n">
        <v>5</v>
      </c>
      <c r="J40" s="43" t="n">
        <v>6</v>
      </c>
      <c r="K40" s="43" t="n">
        <v>7</v>
      </c>
      <c r="L40" s="43" t="n">
        <v>8</v>
      </c>
      <c r="M40" s="43" t="n">
        <v>9</v>
      </c>
      <c r="N40" s="43" t="n">
        <v>10</v>
      </c>
      <c r="O40" s="43" t="n">
        <v>11</v>
      </c>
      <c r="P40" s="43" t="n">
        <v>12</v>
      </c>
    </row>
    <row r="41" customFormat="false" ht="14.25" hidden="false" customHeight="false" outlineLevel="0" collapsed="false">
      <c r="B41" s="44" t="s">
        <v>129</v>
      </c>
      <c r="C41" s="44"/>
      <c r="E41" s="45" t="str">
        <f aca="false">IF(Мес_разработки+Задержка_релиза+E$40&gt;12,"вне горизонта",CHOOSE(MONTH(DATE(YEAR(Дата_начала),MONTH(Дата_начала)+Мес_разработки+Задержка_релиза+E$40-1,1)),"Янв","Фев","Мар","Апр","Май","Июн","Июл","Авг","Сен","Окт","Ноя","Дек")&amp;" "&amp;YEAR(DATE(YEAR(Дата_начала),MONTH(Дата_начала)+Мес_разработки+Задержка_релиза+E$40-1,1)))</f>
        <v>Янв 2027</v>
      </c>
      <c r="F41" s="45" t="str">
        <f aca="false">IF(Мес_разработки+Задержка_релиза+F$40&gt;12,"вне горизонта",CHOOSE(MONTH(DATE(YEAR(Дата_начала),MONTH(Дата_начала)+Мес_разработки+Задержка_релиза+F$40-1,1)),"Янв","Фев","Мар","Апр","Май","Июн","Июл","Авг","Сен","Окт","Ноя","Дек")&amp;" "&amp;YEAR(DATE(YEAR(Дата_начала),MONTH(Дата_начала)+Мес_разработки+Задержка_релиза+F$40-1,1)))</f>
        <v>Фев 2027</v>
      </c>
      <c r="G41" s="45" t="str">
        <f aca="false">IF(Мес_разработки+Задержка_релиза+G$40&gt;12,"вне горизонта",CHOOSE(MONTH(DATE(YEAR(Дата_начала),MONTH(Дата_начала)+Мес_разработки+Задержка_релиза+G$40-1,1)),"Янв","Фев","Мар","Апр","Май","Июн","Июл","Авг","Сен","Окт","Ноя","Дек")&amp;" "&amp;YEAR(DATE(YEAR(Дата_начала),MONTH(Дата_начала)+Мес_разработки+Задержка_релиза+G$40-1,1)))</f>
        <v>Мар 2027</v>
      </c>
      <c r="H41" s="45" t="str">
        <f aca="false">IF(Мес_разработки+Задержка_релиза+H$40&gt;12,"вне горизонта",CHOOSE(MONTH(DATE(YEAR(Дата_начала),MONTH(Дата_начала)+Мес_разработки+Задержка_релиза+H$40-1,1)),"Янв","Фев","Мар","Апр","Май","Июн","Июл","Авг","Сен","Окт","Ноя","Дек")&amp;" "&amp;YEAR(DATE(YEAR(Дата_начала),MONTH(Дата_начала)+Мес_разработки+Задержка_релиза+H$40-1,1)))</f>
        <v>Апр 2027</v>
      </c>
      <c r="I41" s="45" t="str">
        <f aca="false">IF(Мес_разработки+Задержка_релиза+I$40&gt;12,"вне горизонта",CHOOSE(MONTH(DATE(YEAR(Дата_начала),MONTH(Дата_начала)+Мес_разработки+Задержка_релиза+I$40-1,1)),"Янв","Фев","Мар","Апр","Май","Июн","Июл","Авг","Сен","Окт","Ноя","Дек")&amp;" "&amp;YEAR(DATE(YEAR(Дата_начала),MONTH(Дата_начала)+Мес_разработки+Задержка_релиза+I$40-1,1)))</f>
        <v>Май 2027</v>
      </c>
      <c r="J41" s="45" t="str">
        <f aca="false">IF(Мес_разработки+Задержка_релиза+J$40&gt;12,"вне горизонта",CHOOSE(MONTH(DATE(YEAR(Дата_начала),MONTH(Дата_начала)+Мес_разработки+Задержка_релиза+J$40-1,1)),"Янв","Фев","Мар","Апр","Май","Июн","Июл","Авг","Сен","Окт","Ноя","Дек")&amp;" "&amp;YEAR(DATE(YEAR(Дата_начала),MONTH(Дата_начала)+Мес_разработки+Задержка_релиза+J$40-1,1)))</f>
        <v>Июн 2027</v>
      </c>
      <c r="K41" s="45" t="str">
        <f aca="false">IF(Мес_разработки+Задержка_релиза+K$40&gt;12,"вне горизонта",CHOOSE(MONTH(DATE(YEAR(Дата_начала),MONTH(Дата_начала)+Мес_разработки+Задержка_релиза+K$40-1,1)),"Янв","Фев","Мар","Апр","Май","Июн","Июл","Авг","Сен","Окт","Ноя","Дек")&amp;" "&amp;YEAR(DATE(YEAR(Дата_начала),MONTH(Дата_начала)+Мес_разработки+Задержка_релиза+K$40-1,1)))</f>
        <v>Июл 2027</v>
      </c>
      <c r="L41" s="45" t="str">
        <f aca="false">IF(Мес_разработки+Задержка_релиза+L$40&gt;12,"вне горизонта",CHOOSE(MONTH(DATE(YEAR(Дата_начала),MONTH(Дата_начала)+Мес_разработки+Задержка_релиза+L$40-1,1)),"Янв","Фев","Мар","Апр","Май","Июн","Июл","Авг","Сен","Окт","Ноя","Дек")&amp;" "&amp;YEAR(DATE(YEAR(Дата_начала),MONTH(Дата_начала)+Мес_разработки+Задержка_релиза+L$40-1,1)))</f>
        <v>Авг 2027</v>
      </c>
      <c r="M41" s="45" t="str">
        <f aca="false">IF(Мес_разработки+Задержка_релиза+M$40&gt;12,"вне горизонта",CHOOSE(MONTH(DATE(YEAR(Дата_начала),MONTH(Дата_начала)+Мес_разработки+Задержка_релиза+M$40-1,1)),"Янв","Фев","Мар","Апр","Май","Июн","Июл","Авг","Сен","Окт","Ноя","Дек")&amp;" "&amp;YEAR(DATE(YEAR(Дата_начала),MONTH(Дата_начала)+Мес_разработки+Задержка_релиза+M$40-1,1)))</f>
        <v>вне горизонта</v>
      </c>
      <c r="N41" s="45" t="str">
        <f aca="false">IF(Мес_разработки+Задержка_релиза+N$40&gt;12,"вне горизонта",CHOOSE(MONTH(DATE(YEAR(Дата_начала),MONTH(Дата_начала)+Мес_разработки+Задержка_релиза+N$40-1,1)),"Янв","Фев","Мар","Апр","Май","Июн","Июл","Авг","Сен","Окт","Ноя","Дек")&amp;" "&amp;YEAR(DATE(YEAR(Дата_начала),MONTH(Дата_начала)+Мес_разработки+Задержка_релиза+N$40-1,1)))</f>
        <v>вне горизонта</v>
      </c>
      <c r="O41" s="45" t="str">
        <f aca="false">IF(Мес_разработки+Задержка_релиза+O$40&gt;12,"вне горизонта",CHOOSE(MONTH(DATE(YEAR(Дата_начала),MONTH(Дата_начала)+Мес_разработки+Задержка_релиза+O$40-1,1)),"Янв","Фев","Мар","Апр","Май","Июн","Июл","Авг","Сен","Окт","Ноя","Дек")&amp;" "&amp;YEAR(DATE(YEAR(Дата_начала),MONTH(Дата_начала)+Мес_разработки+Задержка_релиза+O$40-1,1)))</f>
        <v>вне горизонта</v>
      </c>
      <c r="P41" s="45" t="str">
        <f aca="false">IF(Мес_разработки+Задержка_релиза+P$40&gt;12,"вне горизонта",CHOOSE(MONTH(DATE(YEAR(Дата_начала),MONTH(Дата_начала)+Мес_разработки+Задержка_релиза+P$40-1,1)),"Янв","Фев","Мар","Апр","Май","Июн","Июл","Авг","Сен","Окт","Ноя","Дек")&amp;" "&amp;YEAR(DATE(YEAR(Дата_начала),MONTH(Дата_начала)+Мес_разработки+Задержка_релиза+P$40-1,1)))</f>
        <v>вне горизонта</v>
      </c>
    </row>
    <row r="42" customFormat="false" ht="14.25" hidden="false" customHeight="false" outlineLevel="0" collapsed="false">
      <c r="B42" s="8" t="s">
        <v>130</v>
      </c>
      <c r="C42" s="8"/>
      <c r="D42" s="27" t="s">
        <v>87</v>
      </c>
      <c r="E42" s="35" t="n">
        <v>1500</v>
      </c>
      <c r="F42" s="35" t="n">
        <v>3000</v>
      </c>
      <c r="G42" s="35" t="n">
        <v>5000</v>
      </c>
      <c r="H42" s="35" t="n">
        <v>7000</v>
      </c>
      <c r="I42" s="35" t="n">
        <v>9000</v>
      </c>
      <c r="J42" s="35" t="n">
        <v>12000</v>
      </c>
      <c r="K42" s="35" t="n">
        <v>16000</v>
      </c>
      <c r="L42" s="35" t="n">
        <v>20000</v>
      </c>
      <c r="M42" s="46" t="n">
        <v>25000</v>
      </c>
      <c r="N42" s="46" t="n">
        <v>25000</v>
      </c>
      <c r="O42" s="46" t="n">
        <v>25000</v>
      </c>
      <c r="P42" s="46" t="n">
        <v>25000</v>
      </c>
    </row>
    <row r="43" customFormat="false" ht="14.25" hidden="false" customHeight="false" outlineLevel="0" collapsed="false">
      <c r="B43" s="8" t="s">
        <v>131</v>
      </c>
      <c r="C43" s="8"/>
      <c r="D43" s="27" t="s">
        <v>106</v>
      </c>
      <c r="E43" s="37" t="n">
        <v>0.8</v>
      </c>
      <c r="F43" s="37" t="n">
        <v>0.81</v>
      </c>
      <c r="G43" s="37" t="n">
        <v>0.83</v>
      </c>
      <c r="H43" s="37" t="n">
        <v>0.85</v>
      </c>
      <c r="I43" s="37" t="n">
        <v>0.86</v>
      </c>
      <c r="J43" s="37" t="n">
        <v>0.87</v>
      </c>
      <c r="K43" s="37" t="n">
        <v>0.88</v>
      </c>
      <c r="L43" s="37" t="n">
        <v>0.9</v>
      </c>
      <c r="M43" s="47" t="n">
        <v>0.95</v>
      </c>
      <c r="N43" s="47" t="n">
        <v>0.95</v>
      </c>
      <c r="O43" s="47" t="n">
        <v>0.95</v>
      </c>
      <c r="P43" s="47" t="n">
        <v>0.95</v>
      </c>
    </row>
    <row r="44" customFormat="false" ht="14.25" hidden="false" customHeight="false" outlineLevel="0" collapsed="false">
      <c r="B44" s="8" t="s">
        <v>132</v>
      </c>
      <c r="C44" s="8"/>
      <c r="D44" s="27" t="s">
        <v>106</v>
      </c>
      <c r="E44" s="48" t="n">
        <v>0.007</v>
      </c>
      <c r="F44" s="48" t="n">
        <v>0.0072</v>
      </c>
      <c r="G44" s="48" t="n">
        <v>0.0075</v>
      </c>
      <c r="H44" s="48" t="n">
        <v>0.008</v>
      </c>
      <c r="I44" s="48" t="n">
        <v>0.0085</v>
      </c>
      <c r="J44" s="48" t="n">
        <v>0.009</v>
      </c>
      <c r="K44" s="48" t="n">
        <v>0.0095</v>
      </c>
      <c r="L44" s="48" t="n">
        <v>0.01</v>
      </c>
      <c r="M44" s="49" t="n">
        <v>0.01</v>
      </c>
      <c r="N44" s="49" t="n">
        <v>0.01</v>
      </c>
      <c r="O44" s="49" t="n">
        <v>0.01</v>
      </c>
      <c r="P44" s="49" t="n">
        <v>0.01</v>
      </c>
    </row>
    <row r="45" customFormat="false" ht="14.25" hidden="false" customHeight="false" outlineLevel="0" collapsed="false">
      <c r="B45" s="8" t="s">
        <v>133</v>
      </c>
      <c r="C45" s="8"/>
      <c r="D45" s="27" t="s">
        <v>90</v>
      </c>
      <c r="E45" s="35" t="n">
        <v>199</v>
      </c>
      <c r="F45" s="35" t="n">
        <v>229</v>
      </c>
      <c r="G45" s="35" t="n">
        <v>239</v>
      </c>
      <c r="H45" s="35" t="n">
        <v>249</v>
      </c>
      <c r="I45" s="35" t="n">
        <v>259</v>
      </c>
      <c r="J45" s="35" t="n">
        <v>279</v>
      </c>
      <c r="K45" s="35" t="n">
        <v>289</v>
      </c>
      <c r="L45" s="35" t="n">
        <v>299</v>
      </c>
      <c r="M45" s="46" t="n">
        <v>329</v>
      </c>
      <c r="N45" s="46" t="n">
        <v>349</v>
      </c>
      <c r="O45" s="46" t="n">
        <v>359</v>
      </c>
      <c r="P45" s="46" t="n">
        <v>359</v>
      </c>
    </row>
    <row r="46" customFormat="false" ht="14.25" hidden="false" customHeight="false" outlineLevel="0" collapsed="false">
      <c r="B46" s="15" t="s">
        <v>134</v>
      </c>
      <c r="C46" s="15"/>
    </row>
    <row r="48" customFormat="false" ht="16.5" hidden="false" customHeight="true" outlineLevel="0" collapsed="false">
      <c r="B48" s="6" t="s">
        <v>135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customFormat="false" ht="18" hidden="false" customHeight="true" outlineLevel="0" collapsed="false">
      <c r="B49" s="19" t="s">
        <v>136</v>
      </c>
      <c r="C49" s="19" t="s">
        <v>137</v>
      </c>
      <c r="D49" s="20" t="s">
        <v>128</v>
      </c>
      <c r="E49" s="20" t="s">
        <v>138</v>
      </c>
      <c r="F49" s="20" t="s">
        <v>139</v>
      </c>
    </row>
    <row r="50" customFormat="false" ht="14.25" hidden="false" customHeight="false" outlineLevel="0" collapsed="false">
      <c r="B50" s="8" t="s">
        <v>140</v>
      </c>
      <c r="C50" s="8" t="n">
        <v>1</v>
      </c>
      <c r="D50" s="27" t="s">
        <v>141</v>
      </c>
      <c r="E50" s="35" t="n">
        <v>4000</v>
      </c>
      <c r="F50" s="35" t="n">
        <v>4000</v>
      </c>
      <c r="G50" s="15" t="s">
        <v>142</v>
      </c>
    </row>
    <row r="51" customFormat="false" ht="14.25" hidden="false" customHeight="false" outlineLevel="0" collapsed="false">
      <c r="B51" s="8" t="s">
        <v>143</v>
      </c>
      <c r="C51" s="8" t="n">
        <v>2</v>
      </c>
      <c r="D51" s="27" t="s">
        <v>141</v>
      </c>
      <c r="E51" s="35" t="n">
        <v>2000</v>
      </c>
      <c r="F51" s="35" t="n">
        <v>2000</v>
      </c>
    </row>
    <row r="52" customFormat="false" ht="14.25" hidden="false" customHeight="false" outlineLevel="0" collapsed="false">
      <c r="B52" s="8" t="s">
        <v>144</v>
      </c>
      <c r="C52" s="8" t="n">
        <v>4</v>
      </c>
      <c r="D52" s="27" t="s">
        <v>141</v>
      </c>
      <c r="E52" s="35" t="n">
        <v>10000</v>
      </c>
      <c r="F52" s="35" t="n">
        <v>10000</v>
      </c>
      <c r="G52" s="15" t="s">
        <v>145</v>
      </c>
    </row>
    <row r="53" customFormat="false" ht="14.25" hidden="false" customHeight="false" outlineLevel="0" collapsed="false">
      <c r="B53" s="8" t="s">
        <v>146</v>
      </c>
      <c r="C53" s="8" t="n">
        <v>3</v>
      </c>
      <c r="D53" s="27" t="s">
        <v>141</v>
      </c>
      <c r="E53" s="35" t="n">
        <v>10000</v>
      </c>
      <c r="F53" s="50" t="n">
        <f aca="false">Сц_маркетинг</f>
        <v>30000</v>
      </c>
      <c r="G53" s="15" t="str">
        <f aca="false">"После релиза задаётся по сценарию (п. 9), в активном сценарии "&amp;FIXED(Допущения!$I$85,0)&amp;" ₽/мес"</f>
        <v>После релиза задаётся по сценарию (п. 9), в активном сценарии 30,000 ₽/мес</v>
      </c>
    </row>
    <row r="54" customFormat="false" ht="14.25" hidden="false" customHeight="false" outlineLevel="0" collapsed="false">
      <c r="B54" s="7" t="s">
        <v>147</v>
      </c>
      <c r="C54" s="7"/>
      <c r="D54" s="27" t="s">
        <v>141</v>
      </c>
      <c r="E54" s="51" t="n">
        <f aca="false">SUM(E50:E53)</f>
        <v>26000</v>
      </c>
      <c r="F54" s="51" t="n">
        <f aca="false">SUM(F50:F53)</f>
        <v>46000</v>
      </c>
      <c r="G54" s="15" t="s">
        <v>148</v>
      </c>
    </row>
    <row r="56" customFormat="false" ht="16.5" hidden="false" customHeight="true" outlineLevel="0" collapsed="false">
      <c r="B56" s="6" t="s">
        <v>149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customFormat="false" ht="14.25" hidden="false" customHeight="false" outlineLevel="0" collapsed="false">
      <c r="B57" s="28" t="s">
        <v>150</v>
      </c>
      <c r="C57" s="28"/>
      <c r="D57" s="27"/>
      <c r="E57" s="29" t="s">
        <v>151</v>
      </c>
      <c r="F57" s="15" t="s">
        <v>152</v>
      </c>
    </row>
    <row r="58" customFormat="false" ht="14.25" hidden="false" customHeight="false" outlineLevel="0" collapsed="false">
      <c r="B58" s="28" t="s">
        <v>153</v>
      </c>
      <c r="C58" s="28"/>
      <c r="D58" s="27" t="s">
        <v>106</v>
      </c>
      <c r="E58" s="37" t="n">
        <v>0.06</v>
      </c>
    </row>
    <row r="59" customFormat="false" ht="14.25" hidden="false" customHeight="false" outlineLevel="0" collapsed="false">
      <c r="B59" s="28" t="s">
        <v>154</v>
      </c>
      <c r="C59" s="28"/>
      <c r="D59" s="27" t="s">
        <v>155</v>
      </c>
      <c r="E59" s="52" t="n">
        <v>54000</v>
      </c>
      <c r="F59" s="40" t="s">
        <v>156</v>
      </c>
    </row>
    <row r="60" customFormat="false" ht="14.25" hidden="false" customHeight="false" outlineLevel="0" collapsed="false">
      <c r="B60" s="28" t="s">
        <v>157</v>
      </c>
      <c r="C60" s="28"/>
      <c r="D60" s="27" t="s">
        <v>106</v>
      </c>
      <c r="E60" s="37" t="n">
        <v>1</v>
      </c>
      <c r="F60" s="15" t="s">
        <v>156</v>
      </c>
    </row>
    <row r="61" customFormat="false" ht="14.25" hidden="false" customHeight="false" outlineLevel="0" collapsed="false">
      <c r="B61" s="28" t="s">
        <v>158</v>
      </c>
      <c r="C61" s="28"/>
      <c r="D61" s="27" t="s">
        <v>106</v>
      </c>
      <c r="E61" s="37" t="n">
        <v>0.13</v>
      </c>
      <c r="F61" s="15" t="s">
        <v>159</v>
      </c>
    </row>
    <row r="63" customFormat="false" ht="16.5" hidden="false" customHeight="true" outlineLevel="0" collapsed="false">
      <c r="B63" s="6" t="s">
        <v>160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customFormat="false" ht="14.25" hidden="false" customHeight="false" outlineLevel="0" collapsed="false">
      <c r="B64" s="28" t="s">
        <v>161</v>
      </c>
      <c r="C64" s="28"/>
      <c r="D64" s="27" t="s">
        <v>162</v>
      </c>
      <c r="E64" s="37" t="n">
        <v>0.25</v>
      </c>
    </row>
    <row r="65" customFormat="false" ht="14.25" hidden="false" customHeight="false" outlineLevel="0" collapsed="false">
      <c r="B65" s="28" t="s">
        <v>163</v>
      </c>
      <c r="C65" s="28"/>
      <c r="D65" s="27" t="s">
        <v>162</v>
      </c>
      <c r="E65" s="37" t="n">
        <v>0.25</v>
      </c>
    </row>
    <row r="66" customFormat="false" ht="14.25" hidden="false" customHeight="false" outlineLevel="0" collapsed="false">
      <c r="B66" s="28" t="s">
        <v>164</v>
      </c>
      <c r="C66" s="28"/>
      <c r="D66" s="27" t="s">
        <v>162</v>
      </c>
      <c r="E66" s="37" t="n">
        <v>0.25</v>
      </c>
    </row>
    <row r="67" customFormat="false" ht="14.25" hidden="false" customHeight="false" outlineLevel="0" collapsed="false">
      <c r="B67" s="28" t="s">
        <v>165</v>
      </c>
      <c r="C67" s="28"/>
      <c r="D67" s="27" t="s">
        <v>162</v>
      </c>
      <c r="E67" s="37" t="n">
        <v>0.25</v>
      </c>
    </row>
    <row r="68" customFormat="false" ht="14.25" hidden="false" customHeight="false" outlineLevel="0" collapsed="false">
      <c r="B68" s="28" t="s">
        <v>166</v>
      </c>
      <c r="C68" s="28"/>
      <c r="D68" s="27" t="s">
        <v>106</v>
      </c>
      <c r="E68" s="38" t="n">
        <f aca="false">SUM(E64:E67)</f>
        <v>1</v>
      </c>
      <c r="F68" s="15" t="s">
        <v>167</v>
      </c>
    </row>
    <row r="70" customFormat="false" ht="16.5" hidden="false" customHeight="true" outlineLevel="0" collapsed="false">
      <c r="B70" s="6" t="s">
        <v>168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customFormat="false" ht="14.25" hidden="false" customHeight="false" outlineLevel="0" collapsed="false">
      <c r="B71" s="28" t="s">
        <v>169</v>
      </c>
      <c r="C71" s="28"/>
      <c r="D71" s="27" t="s">
        <v>99</v>
      </c>
      <c r="E71" s="37" t="n">
        <v>0.22</v>
      </c>
      <c r="F71" s="15" t="s">
        <v>170</v>
      </c>
    </row>
    <row r="72" customFormat="false" ht="14.25" hidden="false" customHeight="false" outlineLevel="0" collapsed="false">
      <c r="B72" s="28" t="s">
        <v>171</v>
      </c>
      <c r="C72" s="28"/>
      <c r="D72" s="27" t="s">
        <v>90</v>
      </c>
      <c r="E72" s="35" t="n">
        <v>25</v>
      </c>
      <c r="F72" s="15" t="s">
        <v>172</v>
      </c>
    </row>
    <row r="73" customFormat="false" ht="14.25" hidden="false" customHeight="false" outlineLevel="0" collapsed="false">
      <c r="B73" s="28" t="s">
        <v>173</v>
      </c>
      <c r="C73" s="28"/>
      <c r="D73" s="27" t="s">
        <v>90</v>
      </c>
      <c r="E73" s="35" t="n">
        <v>80</v>
      </c>
      <c r="F73" s="15" t="s">
        <v>174</v>
      </c>
    </row>
    <row r="74" customFormat="false" ht="14.25" hidden="false" customHeight="false" outlineLevel="0" collapsed="false">
      <c r="B74" s="28" t="s">
        <v>175</v>
      </c>
      <c r="C74" s="28"/>
      <c r="D74" s="27" t="s">
        <v>99</v>
      </c>
      <c r="E74" s="39" t="n">
        <v>0.14</v>
      </c>
      <c r="F74" s="40" t="s">
        <v>176</v>
      </c>
    </row>
    <row r="75" customFormat="false" ht="14.25" hidden="false" customHeight="false" outlineLevel="0" collapsed="false">
      <c r="B75" s="28" t="s">
        <v>177</v>
      </c>
      <c r="C75" s="28"/>
      <c r="D75" s="27" t="s">
        <v>99</v>
      </c>
      <c r="E75" s="37" t="n">
        <v>0.15</v>
      </c>
      <c r="F75" s="15" t="s">
        <v>178</v>
      </c>
    </row>
    <row r="77" customFormat="false" ht="16.5" hidden="false" customHeight="true" outlineLevel="0" collapsed="false">
      <c r="B77" s="6" t="s">
        <v>179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customFormat="false" ht="14.25" hidden="false" customHeight="false" outlineLevel="0" collapsed="false">
      <c r="B78" s="7" t="s">
        <v>180</v>
      </c>
      <c r="C78" s="7"/>
      <c r="E78" s="53" t="s">
        <v>181</v>
      </c>
      <c r="F78" s="53"/>
      <c r="G78" s="15" t="s">
        <v>182</v>
      </c>
    </row>
    <row r="79" customFormat="false" ht="14.25" hidden="false" customHeight="false" outlineLevel="0" collapsed="false">
      <c r="B79" s="44" t="s">
        <v>183</v>
      </c>
      <c r="C79" s="44"/>
      <c r="E79" s="54" t="n">
        <f aca="false">MATCH(Сценарий,$E$80:$H$80,0)</f>
        <v>2</v>
      </c>
    </row>
    <row r="80" customFormat="false" ht="30" hidden="false" customHeight="true" outlineLevel="0" collapsed="false">
      <c r="B80" s="19" t="s">
        <v>184</v>
      </c>
      <c r="C80" s="19"/>
      <c r="D80" s="20" t="s">
        <v>128</v>
      </c>
      <c r="E80" s="55" t="s">
        <v>185</v>
      </c>
      <c r="F80" s="55" t="s">
        <v>181</v>
      </c>
      <c r="G80" s="55" t="s">
        <v>186</v>
      </c>
      <c r="H80" s="55" t="s">
        <v>187</v>
      </c>
      <c r="I80" s="20" t="s">
        <v>188</v>
      </c>
    </row>
    <row r="81" customFormat="false" ht="14.25" hidden="false" customHeight="false" outlineLevel="0" collapsed="false">
      <c r="B81" s="8" t="s">
        <v>189</v>
      </c>
      <c r="C81" s="8"/>
      <c r="D81" s="27" t="s">
        <v>106</v>
      </c>
      <c r="E81" s="37" t="n">
        <v>0.25</v>
      </c>
      <c r="F81" s="37" t="n">
        <v>0.5</v>
      </c>
      <c r="G81" s="37" t="n">
        <v>0.25</v>
      </c>
      <c r="H81" s="37" t="n">
        <v>0</v>
      </c>
      <c r="I81" s="56" t="n">
        <f aca="false">INDEX($E81:$H81,1,Сц_номер)</f>
        <v>0.5</v>
      </c>
    </row>
    <row r="82" customFormat="false" ht="14.25" hidden="false" customHeight="false" outlineLevel="0" collapsed="false">
      <c r="B82" s="8" t="s">
        <v>190</v>
      </c>
      <c r="C82" s="8"/>
      <c r="D82" s="27" t="s">
        <v>191</v>
      </c>
      <c r="E82" s="57" t="n">
        <v>1.4</v>
      </c>
      <c r="F82" s="57" t="n">
        <v>1</v>
      </c>
      <c r="G82" s="57" t="n">
        <v>0.6</v>
      </c>
      <c r="H82" s="57" t="n">
        <v>0.6</v>
      </c>
      <c r="I82" s="58" t="n">
        <f aca="false">INDEX($E82:$H82,1,Сц_номер)</f>
        <v>1</v>
      </c>
    </row>
    <row r="83" customFormat="false" ht="14.25" hidden="false" customHeight="false" outlineLevel="0" collapsed="false">
      <c r="B83" s="8" t="s">
        <v>192</v>
      </c>
      <c r="C83" s="8"/>
      <c r="D83" s="27" t="s">
        <v>191</v>
      </c>
      <c r="E83" s="57" t="n">
        <v>1</v>
      </c>
      <c r="F83" s="57" t="n">
        <v>1</v>
      </c>
      <c r="G83" s="57" t="n">
        <v>1</v>
      </c>
      <c r="H83" s="57" t="n">
        <v>1</v>
      </c>
      <c r="I83" s="58" t="n">
        <f aca="false">INDEX($E83:$H83,1,Сц_номер)</f>
        <v>1</v>
      </c>
    </row>
    <row r="84" customFormat="false" ht="14.25" hidden="false" customHeight="false" outlineLevel="0" collapsed="false">
      <c r="B84" s="8" t="s">
        <v>193</v>
      </c>
      <c r="C84" s="8"/>
      <c r="D84" s="27" t="s">
        <v>191</v>
      </c>
      <c r="E84" s="57" t="n">
        <v>1</v>
      </c>
      <c r="F84" s="57" t="n">
        <v>1</v>
      </c>
      <c r="G84" s="57" t="n">
        <v>1</v>
      </c>
      <c r="H84" s="57" t="n">
        <v>1</v>
      </c>
      <c r="I84" s="58" t="n">
        <f aca="false">INDEX($E84:$H84,1,Сц_номер)</f>
        <v>1</v>
      </c>
    </row>
    <row r="85" customFormat="false" ht="14.25" hidden="false" customHeight="false" outlineLevel="0" collapsed="false">
      <c r="B85" s="8" t="s">
        <v>194</v>
      </c>
      <c r="C85" s="8"/>
      <c r="D85" s="27" t="s">
        <v>141</v>
      </c>
      <c r="E85" s="35" t="n">
        <v>40000</v>
      </c>
      <c r="F85" s="35" t="n">
        <v>30000</v>
      </c>
      <c r="G85" s="35" t="n">
        <v>25000</v>
      </c>
      <c r="H85" s="35" t="n">
        <v>20000</v>
      </c>
      <c r="I85" s="59" t="n">
        <f aca="false">INDEX($E85:$H85,1,Сц_номер)</f>
        <v>30000</v>
      </c>
    </row>
    <row r="86" customFormat="false" ht="14.25" hidden="false" customHeight="false" outlineLevel="0" collapsed="false">
      <c r="B86" s="8" t="s">
        <v>195</v>
      </c>
      <c r="C86" s="8"/>
      <c r="D86" s="27" t="s">
        <v>87</v>
      </c>
      <c r="E86" s="60" t="n">
        <f aca="false">Выручка!$S$12*E82</f>
        <v>28000</v>
      </c>
      <c r="F86" s="60" t="n">
        <f aca="false">Выручка!$S$12*F82</f>
        <v>20000</v>
      </c>
      <c r="G86" s="60" t="n">
        <f aca="false">Выручка!$S$12*G82</f>
        <v>12000</v>
      </c>
      <c r="H86" s="60" t="n">
        <f aca="false">Выручка!$S$12*H82</f>
        <v>12000</v>
      </c>
      <c r="I86" s="61" t="n">
        <f aca="false">INDEX($E86:$H86,1,Сц_номер)</f>
        <v>20000</v>
      </c>
    </row>
    <row r="87" customFormat="false" ht="14.25" hidden="false" customHeight="false" outlineLevel="0" collapsed="false">
      <c r="B87" s="15" t="s">
        <v>196</v>
      </c>
      <c r="C87" s="15"/>
    </row>
  </sheetData>
  <mergeCells count="1">
    <mergeCell ref="E78:F78"/>
  </mergeCells>
  <dataValidations count="6">
    <dataValidation allowBlank="false" error="Номер месяца от 1 до 12" errorStyle="stop" errorTitle="Месяц" operator="between" showDropDown="false" showErrorMessage="true" showInputMessage="false" sqref="E19 E23 E25" type="whole">
      <formula1>1</formula1>
      <formula2>12</formula2>
    </dataValidation>
    <dataValidation allowBlank="false" error="От 1 до 11 месяцев" errorStyle="stop" operator="between" showDropDown="false" showErrorMessage="true" showInputMessage="false" sqref="E9" type="whole">
      <formula1>1</formula1>
      <formula2>11</formula2>
    </dataValidation>
    <dataValidation allowBlank="false" error="От 0 до 8 месяцев" errorStyle="stop" operator="between" showDropDown="false" showErrorMessage="true" showInputMessage="false" sqref="E10 E24 E37" type="whole">
      <formula1>0</formula1>
      <formula2>8</formula2>
    </dataValidation>
    <dataValidation allowBlank="false" error="Доля от 0% до 100%" errorStyle="stop" operator="between" showDropDown="false" showErrorMessage="true" showInputMessage="false" sqref="E22 E30:E31 E36 E58 E60:E61 E64:E67" type="decimal">
      <formula1>0</formula1>
      <formula2>1</formula2>
    </dataValidation>
    <dataValidation allowBlank="false" error="Значение не может быть отрицательным" errorStyle="stop" operator="greaterThanOrEqual" showDropDown="false" showErrorMessage="true" showInputMessage="false" sqref="E12 E16:E17 E21 E32:E35 E50:F52 E53 E59 E71:E75 E81:H85" type="decimal">
      <formula1>0</formula1>
      <formula2>0</formula2>
    </dataValidation>
    <dataValidation allowBlank="false" error="Выберите сценарий из списка" errorStyle="stop" operator="between" showDropDown="false" showErrorMessage="true" showInputMessage="false" sqref="E78" type="list">
      <formula1>$E$80:$H$80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B2:S4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7" ySplit="9" topLeftCell="I10" activePane="bottomRight" state="frozen"/>
      <selection pane="topLeft" activeCell="A1" activeCellId="0" sqref="A1"/>
      <selection pane="topRight" activeCell="I1" activeCellId="0" sqref="I1"/>
      <selection pane="bottomLeft" activeCell="A10" activeCellId="0" sqref="A10"/>
      <selection pane="bottomRight" activeCell="L30" activeCellId="0" sqref="L30"/>
    </sheetView>
  </sheetViews>
  <sheetFormatPr defaultColWidth="8.5390625" defaultRowHeight="14.25" customHeight="true" zeroHeight="false" outlineLevelRow="1" outlineLevelCol="0"/>
  <cols>
    <col collapsed="false" customWidth="true" hidden="false" outlineLevel="0" max="1" min="1" style="1" width="1.44"/>
    <col collapsed="false" customWidth="true" hidden="false" outlineLevel="0" max="2" min="2" style="1" width="46"/>
    <col collapsed="false" customWidth="true" hidden="false" outlineLevel="0" max="3" min="3" style="1" width="8"/>
    <col collapsed="false" customWidth="true" hidden="false" outlineLevel="0" max="6" min="4" style="1" width="13.44"/>
    <col collapsed="false" customWidth="true" hidden="false" outlineLevel="0" max="7" min="7" style="1" width="1.44"/>
    <col collapsed="false" customWidth="true" hidden="false" outlineLevel="0" max="19" min="8" style="1" width="11.44"/>
  </cols>
  <sheetData>
    <row r="2" customFormat="false" ht="24" hidden="false" customHeight="true" outlineLevel="0" collapsed="false">
      <c r="B2" s="16" t="s">
        <v>197</v>
      </c>
    </row>
    <row r="3" customFormat="false" ht="14.25" hidden="false" customHeight="false" outlineLevel="0" collapsed="false">
      <c r="B3" s="5" t="s">
        <v>198</v>
      </c>
    </row>
    <row r="5" customFormat="false" ht="30" hidden="false" customHeight="true" outlineLevel="0" collapsed="false">
      <c r="B5" s="62" t="s">
        <v>51</v>
      </c>
      <c r="C5" s="20" t="s">
        <v>128</v>
      </c>
      <c r="D5" s="55" t="str">
        <f aca="false">"Разработка"&amp;CHAR(10)&amp;"("&amp;Дев_мес&amp;" мес.)"</f>
        <v>Разработка
(4 мес.)</v>
      </c>
      <c r="E5" s="55" t="str">
        <f aca="false">"Операционка"&amp;CHAR(10)&amp;"("&amp;Опер_мес&amp;" мес.)"</f>
        <v>Операционка
(8 мес.)</v>
      </c>
      <c r="F5" s="55" t="str">
        <f aca="false">"Итого"&amp;CHAR(10)&amp;"12 мес."</f>
        <v>Итого
12 мес.</v>
      </c>
      <c r="G5" s="19"/>
      <c r="H5" s="20" t="str">
        <f aca="false">CHOOSE(MONTH(H7),"Янв","Фев","Мар","Апр","Май","Июн","Июл","Авг","Сен","Окт","Ноя","Дек")&amp;" "&amp;YEAR(H7)</f>
        <v>Сен 2026</v>
      </c>
      <c r="I5" s="20" t="str">
        <f aca="false">CHOOSE(MONTH(I7),"Янв","Фев","Мар","Апр","Май","Июн","Июл","Авг","Сен","Окт","Ноя","Дек")&amp;" "&amp;YEAR(I7)</f>
        <v>Окт 2026</v>
      </c>
      <c r="J5" s="20" t="str">
        <f aca="false">CHOOSE(MONTH(J7),"Янв","Фев","Мар","Апр","Май","Июн","Июл","Авг","Сен","Окт","Ноя","Дек")&amp;" "&amp;YEAR(J7)</f>
        <v>Ноя 2026</v>
      </c>
      <c r="K5" s="20" t="str">
        <f aca="false">CHOOSE(MONTH(K7),"Янв","Фев","Мар","Апр","Май","Июн","Июл","Авг","Сен","Окт","Ноя","Дек")&amp;" "&amp;YEAR(K7)</f>
        <v>Дек 2026</v>
      </c>
      <c r="L5" s="20" t="str">
        <f aca="false">CHOOSE(MONTH(L7),"Янв","Фев","Мар","Апр","Май","Июн","Июл","Авг","Сен","Окт","Ноя","Дек")&amp;" "&amp;YEAR(L7)</f>
        <v>Янв 2027</v>
      </c>
      <c r="M5" s="20" t="str">
        <f aca="false">CHOOSE(MONTH(M7),"Янв","Фев","Мар","Апр","Май","Июн","Июл","Авг","Сен","Окт","Ноя","Дек")&amp;" "&amp;YEAR(M7)</f>
        <v>Фев 2027</v>
      </c>
      <c r="N5" s="20" t="str">
        <f aca="false">CHOOSE(MONTH(N7),"Янв","Фев","Мар","Апр","Май","Июн","Июл","Авг","Сен","Окт","Ноя","Дек")&amp;" "&amp;YEAR(N7)</f>
        <v>Мар 2027</v>
      </c>
      <c r="O5" s="20" t="str">
        <f aca="false">CHOOSE(MONTH(O7),"Янв","Фев","Мар","Апр","Май","Июн","Июл","Авг","Сен","Окт","Ноя","Дек")&amp;" "&amp;YEAR(O7)</f>
        <v>Апр 2027</v>
      </c>
      <c r="P5" s="20" t="str">
        <f aca="false">CHOOSE(MONTH(P7),"Янв","Фев","Мар","Апр","Май","Июн","Июл","Авг","Сен","Окт","Ноя","Дек")&amp;" "&amp;YEAR(P7)</f>
        <v>Май 2027</v>
      </c>
      <c r="Q5" s="20" t="str">
        <f aca="false">CHOOSE(MONTH(Q7),"Янв","Фев","Мар","Апр","Май","Июн","Июл","Авг","Сен","Окт","Ноя","Дек")&amp;" "&amp;YEAR(Q7)</f>
        <v>Июн 2027</v>
      </c>
      <c r="R5" s="20" t="str">
        <f aca="false">CHOOSE(MONTH(R7),"Янв","Фев","Мар","Апр","Май","Июн","Июл","Авг","Сен","Окт","Ноя","Дек")&amp;" "&amp;YEAR(R7)</f>
        <v>Июл 2027</v>
      </c>
      <c r="S5" s="20" t="str">
        <f aca="false">CHOOSE(MONTH(S7),"Янв","Фев","Мар","Апр","Май","Июн","Июл","Авг","Сен","Окт","Ноя","Дек")&amp;" "&amp;YEAR(S7)</f>
        <v>Авг 2027</v>
      </c>
    </row>
    <row r="6" customFormat="false" ht="14.25" hidden="false" customHeight="false" outlineLevel="0" collapsed="false">
      <c r="B6" s="44" t="s">
        <v>199</v>
      </c>
      <c r="H6" s="63" t="n">
        <v>1</v>
      </c>
      <c r="I6" s="63" t="n">
        <f aca="false">H6+1</f>
        <v>2</v>
      </c>
      <c r="J6" s="63" t="n">
        <f aca="false">I6+1</f>
        <v>3</v>
      </c>
      <c r="K6" s="63" t="n">
        <f aca="false">J6+1</f>
        <v>4</v>
      </c>
      <c r="L6" s="63" t="n">
        <f aca="false">K6+1</f>
        <v>5</v>
      </c>
      <c r="M6" s="63" t="n">
        <f aca="false">L6+1</f>
        <v>6</v>
      </c>
      <c r="N6" s="63" t="n">
        <f aca="false">M6+1</f>
        <v>7</v>
      </c>
      <c r="O6" s="63" t="n">
        <f aca="false">N6+1</f>
        <v>8</v>
      </c>
      <c r="P6" s="63" t="n">
        <f aca="false">O6+1</f>
        <v>9</v>
      </c>
      <c r="Q6" s="63" t="n">
        <f aca="false">P6+1</f>
        <v>10</v>
      </c>
      <c r="R6" s="63" t="n">
        <f aca="false">Q6+1</f>
        <v>11</v>
      </c>
      <c r="S6" s="63" t="n">
        <f aca="false">R6+1</f>
        <v>12</v>
      </c>
    </row>
    <row r="7" customFormat="false" ht="14.25" hidden="false" customHeight="false" outlineLevel="0" collapsed="false">
      <c r="B7" s="44" t="s">
        <v>200</v>
      </c>
      <c r="H7" s="64" t="n">
        <f aca="false">DATE(YEAR(Дата_начала),MONTH(Дата_начала)+H6-1,1)</f>
        <v>46266</v>
      </c>
      <c r="I7" s="64" t="n">
        <f aca="false">DATE(YEAR(Дата_начала),MONTH(Дата_начала)+I6-1,1)</f>
        <v>46296</v>
      </c>
      <c r="J7" s="64" t="n">
        <f aca="false">DATE(YEAR(Дата_начала),MONTH(Дата_начала)+J6-1,1)</f>
        <v>46327</v>
      </c>
      <c r="K7" s="64" t="n">
        <f aca="false">DATE(YEAR(Дата_начала),MONTH(Дата_начала)+K6-1,1)</f>
        <v>46357</v>
      </c>
      <c r="L7" s="64" t="n">
        <f aca="false">DATE(YEAR(Дата_начала),MONTH(Дата_начала)+L6-1,1)</f>
        <v>46388</v>
      </c>
      <c r="M7" s="64" t="n">
        <f aca="false">DATE(YEAR(Дата_начала),MONTH(Дата_начала)+M6-1,1)</f>
        <v>46419</v>
      </c>
      <c r="N7" s="64" t="n">
        <f aca="false">DATE(YEAR(Дата_начала),MONTH(Дата_начала)+N6-1,1)</f>
        <v>46447</v>
      </c>
      <c r="O7" s="64" t="n">
        <f aca="false">DATE(YEAR(Дата_начала),MONTH(Дата_начала)+O6-1,1)</f>
        <v>46478</v>
      </c>
      <c r="P7" s="64" t="n">
        <f aca="false">DATE(YEAR(Дата_начала),MONTH(Дата_начала)+P6-1,1)</f>
        <v>46508</v>
      </c>
      <c r="Q7" s="64" t="n">
        <f aca="false">DATE(YEAR(Дата_начала),MONTH(Дата_начала)+Q6-1,1)</f>
        <v>46539</v>
      </c>
      <c r="R7" s="64" t="n">
        <f aca="false">DATE(YEAR(Дата_начала),MONTH(Дата_начала)+R6-1,1)</f>
        <v>46569</v>
      </c>
      <c r="S7" s="64" t="n">
        <f aca="false">DATE(YEAR(Дата_начала),MONTH(Дата_начала)+S6-1,1)</f>
        <v>46600</v>
      </c>
    </row>
    <row r="8" customFormat="false" ht="14.25" hidden="false" customHeight="false" outlineLevel="0" collapsed="false">
      <c r="B8" s="44" t="s">
        <v>201</v>
      </c>
      <c r="D8" s="63" t="n">
        <f aca="false">COUNTIF($H$8:$S$8,"Разработка")</f>
        <v>4</v>
      </c>
      <c r="E8" s="63" t="n">
        <f aca="false">COUNTIF($H$8:$S$8,"Операционка")</f>
        <v>8</v>
      </c>
      <c r="F8" s="63" t="n">
        <f aca="false">D8+E8</f>
        <v>12</v>
      </c>
      <c r="H8" s="45" t="str">
        <f aca="false">IF(H6&lt;=Мес_разработки+Задержка_релиза,"Разработка","Операционка")</f>
        <v>Разработка</v>
      </c>
      <c r="I8" s="45" t="str">
        <f aca="false">IF(I6&lt;=Мес_разработки+Задержка_релиза,"Разработка","Операционка")</f>
        <v>Разработка</v>
      </c>
      <c r="J8" s="45" t="str">
        <f aca="false">IF(J6&lt;=Мес_разработки+Задержка_релиза,"Разработка","Операционка")</f>
        <v>Разработка</v>
      </c>
      <c r="K8" s="45" t="str">
        <f aca="false">IF(K6&lt;=Мес_разработки+Задержка_релиза,"Разработка","Операционка")</f>
        <v>Разработка</v>
      </c>
      <c r="L8" s="45" t="str">
        <f aca="false">IF(L6&lt;=Мес_разработки+Задержка_релиза,"Разработка","Операционка")</f>
        <v>Операционка</v>
      </c>
      <c r="M8" s="45" t="str">
        <f aca="false">IF(M6&lt;=Мес_разработки+Задержка_релиза,"Разработка","Операционка")</f>
        <v>Операционка</v>
      </c>
      <c r="N8" s="45" t="str">
        <f aca="false">IF(N6&lt;=Мес_разработки+Задержка_релиза,"Разработка","Операционка")</f>
        <v>Операционка</v>
      </c>
      <c r="O8" s="45" t="str">
        <f aca="false">IF(O6&lt;=Мес_разработки+Задержка_релиза,"Разработка","Операционка")</f>
        <v>Операционка</v>
      </c>
      <c r="P8" s="45" t="str">
        <f aca="false">IF(P6&lt;=Мес_разработки+Задержка_релиза,"Разработка","Операционка")</f>
        <v>Операционка</v>
      </c>
      <c r="Q8" s="45" t="str">
        <f aca="false">IF(Q6&lt;=Мес_разработки+Задержка_релиза,"Разработка","Операционка")</f>
        <v>Операционка</v>
      </c>
      <c r="R8" s="45" t="str">
        <f aca="false">IF(R6&lt;=Мес_разработки+Задержка_релиза,"Разработка","Операционка")</f>
        <v>Операционка</v>
      </c>
      <c r="S8" s="45" t="str">
        <f aca="false">IF(S6&lt;=Мес_разработки+Задержка_релиза,"Разработка","Операционка")</f>
        <v>Операционка</v>
      </c>
    </row>
    <row r="9" customFormat="false" ht="14.25" hidden="false" customHeight="false" outlineLevel="0" collapsed="false">
      <c r="B9" s="44" t="s">
        <v>202</v>
      </c>
      <c r="H9" s="63" t="n">
        <f aca="false">MAX(0,H6-Мес_разработки-Задержка_релиза)</f>
        <v>0</v>
      </c>
      <c r="I9" s="63" t="n">
        <f aca="false">MAX(0,I6-Мес_разработки-Задержка_релиза)</f>
        <v>0</v>
      </c>
      <c r="J9" s="63" t="n">
        <f aca="false">MAX(0,J6-Мес_разработки-Задержка_релиза)</f>
        <v>0</v>
      </c>
      <c r="K9" s="63" t="n">
        <f aca="false">MAX(0,K6-Мес_разработки-Задержка_релиза)</f>
        <v>0</v>
      </c>
      <c r="L9" s="63" t="n">
        <f aca="false">MAX(0,L6-Мес_разработки-Задержка_релиза)</f>
        <v>1</v>
      </c>
      <c r="M9" s="63" t="n">
        <f aca="false">MAX(0,M6-Мес_разработки-Задержка_релиза)</f>
        <v>2</v>
      </c>
      <c r="N9" s="63" t="n">
        <f aca="false">MAX(0,N6-Мес_разработки-Задержка_релиза)</f>
        <v>3</v>
      </c>
      <c r="O9" s="63" t="n">
        <f aca="false">MAX(0,O6-Мес_разработки-Задержка_релиза)</f>
        <v>4</v>
      </c>
      <c r="P9" s="63" t="n">
        <f aca="false">MAX(0,P6-Мес_разработки-Задержка_релиза)</f>
        <v>5</v>
      </c>
      <c r="Q9" s="63" t="n">
        <f aca="false">MAX(0,Q6-Мес_разработки-Задержка_релиза)</f>
        <v>6</v>
      </c>
      <c r="R9" s="63" t="n">
        <f aca="false">MAX(0,R6-Мес_разработки-Задержка_релиза)</f>
        <v>7</v>
      </c>
      <c r="S9" s="63" t="n">
        <f aca="false">MAX(0,S6-Мес_разработки-Задержка_релиза)</f>
        <v>8</v>
      </c>
    </row>
    <row r="11" customFormat="false" ht="16.5" hidden="false" customHeight="true" outlineLevel="0" collapsed="false">
      <c r="B11" s="6" t="s">
        <v>203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customFormat="false" ht="14.25" hidden="false" customHeight="false" outlineLevel="0" collapsed="false">
      <c r="B12" s="65" t="s">
        <v>204</v>
      </c>
      <c r="C12" s="27" t="s">
        <v>87</v>
      </c>
      <c r="D12" s="66" t="n">
        <f aca="false">INDEX($H$12:$S$12,1,Дев_мес)</f>
        <v>0</v>
      </c>
      <c r="E12" s="66" t="n">
        <f aca="false">IF(Опер_мес&gt;0,S12,"")</f>
        <v>20000</v>
      </c>
      <c r="F12" s="67" t="n">
        <f aca="false">S12</f>
        <v>20000</v>
      </c>
      <c r="H12" s="66" t="n">
        <f aca="false">IF(H$9&gt;0,INDEX(План_MAU,1,H$9),0)</f>
        <v>0</v>
      </c>
      <c r="I12" s="66" t="n">
        <f aca="false">IF(I$9&gt;0,INDEX(План_MAU,1,I$9),0)</f>
        <v>0</v>
      </c>
      <c r="J12" s="66" t="n">
        <f aca="false">IF(J$9&gt;0,INDEX(План_MAU,1,J$9),0)</f>
        <v>0</v>
      </c>
      <c r="K12" s="66" t="n">
        <f aca="false">IF(K$9&gt;0,INDEX(План_MAU,1,K$9),0)</f>
        <v>0</v>
      </c>
      <c r="L12" s="66" t="n">
        <f aca="false">IF(L$9&gt;0,INDEX(План_MAU,1,L$9),0)</f>
        <v>1500</v>
      </c>
      <c r="M12" s="66" t="n">
        <f aca="false">IF(M$9&gt;0,INDEX(План_MAU,1,M$9),0)</f>
        <v>3000</v>
      </c>
      <c r="N12" s="66" t="n">
        <f aca="false">IF(N$9&gt;0,INDEX(План_MAU,1,N$9),0)</f>
        <v>5000</v>
      </c>
      <c r="O12" s="66" t="n">
        <f aca="false">IF(O$9&gt;0,INDEX(План_MAU,1,O$9),0)</f>
        <v>7000</v>
      </c>
      <c r="P12" s="66" t="n">
        <f aca="false">IF(P$9&gt;0,INDEX(План_MAU,1,P$9),0)</f>
        <v>9000</v>
      </c>
      <c r="Q12" s="66" t="n">
        <f aca="false">IF(Q$9&gt;0,INDEX(План_MAU,1,Q$9),0)</f>
        <v>12000</v>
      </c>
      <c r="R12" s="66" t="n">
        <f aca="false">IF(R$9&gt;0,INDEX(План_MAU,1,R$9),0)</f>
        <v>16000</v>
      </c>
      <c r="S12" s="66" t="n">
        <f aca="false">IF(S$9&gt;0,INDEX(План_MAU,1,S$9),0)</f>
        <v>20000</v>
      </c>
    </row>
    <row r="13" customFormat="false" ht="14.25" hidden="false" customHeight="false" outlineLevel="0" collapsed="false">
      <c r="B13" s="68" t="s">
        <v>205</v>
      </c>
      <c r="C13" s="69" t="s">
        <v>87</v>
      </c>
      <c r="D13" s="70" t="n">
        <f aca="false">INDEX($H$13:$S$13,1,Дев_мес)</f>
        <v>0</v>
      </c>
      <c r="E13" s="70" t="n">
        <f aca="false">IF(Опер_мес&gt;0,S13,"")</f>
        <v>20000</v>
      </c>
      <c r="F13" s="70" t="n">
        <f aca="false">S13</f>
        <v>20000</v>
      </c>
      <c r="H13" s="70" t="n">
        <f aca="false">H12*Сц_MAU</f>
        <v>0</v>
      </c>
      <c r="I13" s="70" t="n">
        <f aca="false">I12*Сц_MAU</f>
        <v>0</v>
      </c>
      <c r="J13" s="70" t="n">
        <f aca="false">J12*Сц_MAU</f>
        <v>0</v>
      </c>
      <c r="K13" s="70" t="n">
        <f aca="false">K12*Сц_MAU</f>
        <v>0</v>
      </c>
      <c r="L13" s="70" t="n">
        <f aca="false">L12*Сц_MAU</f>
        <v>1500</v>
      </c>
      <c r="M13" s="70" t="n">
        <f aca="false">M12*Сц_MAU</f>
        <v>3000</v>
      </c>
      <c r="N13" s="70" t="n">
        <f aca="false">N12*Сц_MAU</f>
        <v>5000</v>
      </c>
      <c r="O13" s="70" t="n">
        <f aca="false">O12*Сц_MAU</f>
        <v>7000</v>
      </c>
      <c r="P13" s="70" t="n">
        <f aca="false">P12*Сц_MAU</f>
        <v>9000</v>
      </c>
      <c r="Q13" s="70" t="n">
        <f aca="false">Q12*Сц_MAU</f>
        <v>12000</v>
      </c>
      <c r="R13" s="70" t="n">
        <f aca="false">R12*Сц_MAU</f>
        <v>16000</v>
      </c>
      <c r="S13" s="70" t="n">
        <f aca="false">S12*Сц_MAU</f>
        <v>20000</v>
      </c>
    </row>
    <row r="14" customFormat="false" ht="14.25" hidden="false" customHeight="false" outlineLevel="0" collapsed="false">
      <c r="B14" s="65" t="s">
        <v>206</v>
      </c>
      <c r="C14" s="27" t="s">
        <v>87</v>
      </c>
      <c r="D14" s="66" t="n">
        <f aca="false">INDEX($H$14:$S$14,1,Дев_мес)</f>
        <v>0</v>
      </c>
      <c r="E14" s="66" t="n">
        <f aca="false">IF(Опер_мес&gt;0,S14,"")</f>
        <v>6000</v>
      </c>
      <c r="F14" s="67" t="n">
        <f aca="false">S14</f>
        <v>6000</v>
      </c>
      <c r="H14" s="66" t="n">
        <f aca="false">H13*DAU_MAU</f>
        <v>0</v>
      </c>
      <c r="I14" s="66" t="n">
        <f aca="false">I13*DAU_MAU</f>
        <v>0</v>
      </c>
      <c r="J14" s="66" t="n">
        <f aca="false">J13*DAU_MAU</f>
        <v>0</v>
      </c>
      <c r="K14" s="66" t="n">
        <f aca="false">K13*DAU_MAU</f>
        <v>0</v>
      </c>
      <c r="L14" s="66" t="n">
        <f aca="false">L13*DAU_MAU</f>
        <v>450</v>
      </c>
      <c r="M14" s="66" t="n">
        <f aca="false">M13*DAU_MAU</f>
        <v>900</v>
      </c>
      <c r="N14" s="66" t="n">
        <f aca="false">N13*DAU_MAU</f>
        <v>1500</v>
      </c>
      <c r="O14" s="66" t="n">
        <f aca="false">O13*DAU_MAU</f>
        <v>2100</v>
      </c>
      <c r="P14" s="66" t="n">
        <f aca="false">P13*DAU_MAU</f>
        <v>2700</v>
      </c>
      <c r="Q14" s="66" t="n">
        <f aca="false">Q13*DAU_MAU</f>
        <v>3600</v>
      </c>
      <c r="R14" s="66" t="n">
        <f aca="false">R13*DAU_MAU</f>
        <v>4800</v>
      </c>
      <c r="S14" s="66" t="n">
        <f aca="false">S13*DAU_MAU</f>
        <v>6000</v>
      </c>
    </row>
    <row r="16" customFormat="false" ht="16.5" hidden="false" customHeight="true" outlineLevel="0" collapsed="false">
      <c r="B16" s="6" t="s">
        <v>207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customFormat="false" ht="14.25" hidden="false" customHeight="false" outlineLevel="0" collapsed="false">
      <c r="B17" s="71" t="s">
        <v>208</v>
      </c>
      <c r="C17" s="27" t="s">
        <v>114</v>
      </c>
      <c r="D17" s="66" t="n">
        <f aca="false">SUMIF($H$8:$S$8,"Разработка",$H$17:$S$17)</f>
        <v>0</v>
      </c>
      <c r="E17" s="66" t="n">
        <f aca="false">SUMIF($H$8:$S$8,"Операционка",$H$17:$S$17)</f>
        <v>893025</v>
      </c>
      <c r="F17" s="67" t="n">
        <f aca="false">SUM($H$17:$S$17)</f>
        <v>893025</v>
      </c>
      <c r="H17" s="66" t="n">
        <f aca="false">H14*Int_доля*Int_показов*Дней_в_месяце</f>
        <v>0</v>
      </c>
      <c r="I17" s="66" t="n">
        <f aca="false">I14*Int_доля*Int_показов*Дней_в_месяце</f>
        <v>0</v>
      </c>
      <c r="J17" s="66" t="n">
        <f aca="false">J14*Int_доля*Int_показов*Дней_в_месяце</f>
        <v>0</v>
      </c>
      <c r="K17" s="66" t="n">
        <f aca="false">K14*Int_доля*Int_показов*Дней_в_месяце</f>
        <v>0</v>
      </c>
      <c r="L17" s="66" t="n">
        <f aca="false">L14*Int_доля*Int_показов*Дней_в_месяце</f>
        <v>18225</v>
      </c>
      <c r="M17" s="66" t="n">
        <f aca="false">M14*Int_доля*Int_показов*Дней_в_месяце</f>
        <v>36450</v>
      </c>
      <c r="N17" s="66" t="n">
        <f aca="false">N14*Int_доля*Int_показов*Дней_в_месяце</f>
        <v>60750</v>
      </c>
      <c r="O17" s="66" t="n">
        <f aca="false">O14*Int_доля*Int_показов*Дней_в_месяце</f>
        <v>85050</v>
      </c>
      <c r="P17" s="66" t="n">
        <f aca="false">P14*Int_доля*Int_показов*Дней_в_месяце</f>
        <v>109350</v>
      </c>
      <c r="Q17" s="66" t="n">
        <f aca="false">Q14*Int_доля*Int_показов*Дней_в_месяце</f>
        <v>145800</v>
      </c>
      <c r="R17" s="66" t="n">
        <f aca="false">R14*Int_доля*Int_показов*Дней_в_месяце</f>
        <v>194400</v>
      </c>
      <c r="S17" s="66" t="n">
        <f aca="false">S14*Int_доля*Int_показов*Дней_в_месяце</f>
        <v>243000</v>
      </c>
    </row>
    <row r="18" customFormat="false" ht="14.25" hidden="false" customHeight="false" outlineLevel="0" collapsed="false">
      <c r="B18" s="71" t="s">
        <v>209</v>
      </c>
      <c r="C18" s="27" t="s">
        <v>90</v>
      </c>
      <c r="E18" s="66" t="n">
        <f aca="false">IFERROR(AVERAGEIF($H$8:$S$8,"Операционка",$H$18:$S$18),0)</f>
        <v>150</v>
      </c>
      <c r="F18" s="67" t="n">
        <f aca="false">IFERROR(AVERAGEIF($H$8:$S$8,"Операционка",$H$18:$S$18),0)</f>
        <v>150</v>
      </c>
      <c r="H18" s="66" t="n">
        <f aca="false">IF(H$9&gt;0,Int_eCPM*Сц_eCPM,0)</f>
        <v>0</v>
      </c>
      <c r="I18" s="66" t="n">
        <f aca="false">IF(I$9&gt;0,Int_eCPM*Сц_eCPM,0)</f>
        <v>0</v>
      </c>
      <c r="J18" s="66" t="n">
        <f aca="false">IF(J$9&gt;0,Int_eCPM*Сц_eCPM,0)</f>
        <v>0</v>
      </c>
      <c r="K18" s="66" t="n">
        <f aca="false">IF(K$9&gt;0,Int_eCPM*Сц_eCPM,0)</f>
        <v>0</v>
      </c>
      <c r="L18" s="66" t="n">
        <f aca="false">IF(L$9&gt;0,Int_eCPM*Сц_eCPM,0)</f>
        <v>150</v>
      </c>
      <c r="M18" s="66" t="n">
        <f aca="false">IF(M$9&gt;0,Int_eCPM*Сц_eCPM,0)</f>
        <v>150</v>
      </c>
      <c r="N18" s="66" t="n">
        <f aca="false">IF(N$9&gt;0,Int_eCPM*Сц_eCPM,0)</f>
        <v>150</v>
      </c>
      <c r="O18" s="66" t="n">
        <f aca="false">IF(O$9&gt;0,Int_eCPM*Сц_eCPM,0)</f>
        <v>150</v>
      </c>
      <c r="P18" s="66" t="n">
        <f aca="false">IF(P$9&gt;0,Int_eCPM*Сц_eCPM,0)</f>
        <v>150</v>
      </c>
      <c r="Q18" s="66" t="n">
        <f aca="false">IF(Q$9&gt;0,Int_eCPM*Сц_eCPM,0)</f>
        <v>150</v>
      </c>
      <c r="R18" s="66" t="n">
        <f aca="false">IF(R$9&gt;0,Int_eCPM*Сц_eCPM,0)</f>
        <v>150</v>
      </c>
      <c r="S18" s="66" t="n">
        <f aca="false">IF(S$9&gt;0,Int_eCPM*Сц_eCPM,0)</f>
        <v>150</v>
      </c>
    </row>
    <row r="19" customFormat="false" ht="14.25" hidden="false" customHeight="false" outlineLevel="0" collapsed="false">
      <c r="B19" s="68" t="s">
        <v>210</v>
      </c>
      <c r="C19" s="69" t="s">
        <v>90</v>
      </c>
      <c r="D19" s="70" t="n">
        <f aca="false">SUMIF($H$8:$S$8,"Разработка",$H$19:$S$19)</f>
        <v>0</v>
      </c>
      <c r="E19" s="70" t="n">
        <f aca="false">SUMIF($H$8:$S$8,"Операционка",$H$19:$S$19)</f>
        <v>133953.75</v>
      </c>
      <c r="F19" s="70" t="n">
        <f aca="false">SUM($H$19:$S$19)</f>
        <v>133953.75</v>
      </c>
      <c r="H19" s="70" t="n">
        <f aca="false">H17*H18/1000</f>
        <v>0</v>
      </c>
      <c r="I19" s="70" t="n">
        <f aca="false">I17*I18/1000</f>
        <v>0</v>
      </c>
      <c r="J19" s="70" t="n">
        <f aca="false">J17*J18/1000</f>
        <v>0</v>
      </c>
      <c r="K19" s="70" t="n">
        <f aca="false">K17*K18/1000</f>
        <v>0</v>
      </c>
      <c r="L19" s="70" t="n">
        <f aca="false">L17*L18/1000</f>
        <v>2733.75</v>
      </c>
      <c r="M19" s="70" t="n">
        <f aca="false">M17*M18/1000</f>
        <v>5467.5</v>
      </c>
      <c r="N19" s="70" t="n">
        <f aca="false">N17*N18/1000</f>
        <v>9112.5</v>
      </c>
      <c r="O19" s="70" t="n">
        <f aca="false">O17*O18/1000</f>
        <v>12757.5</v>
      </c>
      <c r="P19" s="70" t="n">
        <f aca="false">P17*P18/1000</f>
        <v>16402.5</v>
      </c>
      <c r="Q19" s="70" t="n">
        <f aca="false">Q17*Q18/1000</f>
        <v>21870</v>
      </c>
      <c r="R19" s="70" t="n">
        <f aca="false">R17*R18/1000</f>
        <v>29160</v>
      </c>
      <c r="S19" s="70" t="n">
        <f aca="false">S17*S18/1000</f>
        <v>36450</v>
      </c>
    </row>
    <row r="21" customFormat="false" ht="16.5" hidden="false" customHeight="true" outlineLevel="0" collapsed="false">
      <c r="B21" s="6" t="s">
        <v>211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customFormat="false" ht="14.25" hidden="false" customHeight="false" outlineLevel="0" collapsed="false">
      <c r="B22" s="71" t="s">
        <v>212</v>
      </c>
      <c r="C22" s="27" t="s">
        <v>106</v>
      </c>
      <c r="E22" s="72" t="n">
        <f aca="false">IFERROR(AVERAGEIF($H$8:$S$8,"Операционка",$H$22:$S$22),0)</f>
        <v>0.85</v>
      </c>
      <c r="F22" s="73" t="n">
        <f aca="false">IFERROR(AVERAGEIF($H$8:$S$8,"Операционка",$H$22:$S$22),0)</f>
        <v>0.85</v>
      </c>
      <c r="H22" s="72" t="n">
        <f aca="false">IF(H$9&gt;0,INDEX(План_rew_доля,1,H$9),0)</f>
        <v>0</v>
      </c>
      <c r="I22" s="72" t="n">
        <f aca="false">IF(I$9&gt;0,INDEX(План_rew_доля,1,I$9),0)</f>
        <v>0</v>
      </c>
      <c r="J22" s="72" t="n">
        <f aca="false">IF(J$9&gt;0,INDEX(План_rew_доля,1,J$9),0)</f>
        <v>0</v>
      </c>
      <c r="K22" s="72" t="n">
        <f aca="false">IF(K$9&gt;0,INDEX(План_rew_доля,1,K$9),0)</f>
        <v>0</v>
      </c>
      <c r="L22" s="72" t="n">
        <f aca="false">IF(L$9&gt;0,INDEX(План_rew_доля,1,L$9),0)</f>
        <v>0.8</v>
      </c>
      <c r="M22" s="72" t="n">
        <f aca="false">IF(M$9&gt;0,INDEX(План_rew_доля,1,M$9),0)</f>
        <v>0.81</v>
      </c>
      <c r="N22" s="72" t="n">
        <f aca="false">IF(N$9&gt;0,INDEX(План_rew_доля,1,N$9),0)</f>
        <v>0.83</v>
      </c>
      <c r="O22" s="72" t="n">
        <f aca="false">IF(O$9&gt;0,INDEX(План_rew_доля,1,O$9),0)</f>
        <v>0.85</v>
      </c>
      <c r="P22" s="72" t="n">
        <f aca="false">IF(P$9&gt;0,INDEX(План_rew_доля,1,P$9),0)</f>
        <v>0.86</v>
      </c>
      <c r="Q22" s="72" t="n">
        <f aca="false">IF(Q$9&gt;0,INDEX(План_rew_доля,1,Q$9),0)</f>
        <v>0.87</v>
      </c>
      <c r="R22" s="72" t="n">
        <f aca="false">IF(R$9&gt;0,INDEX(План_rew_доля,1,R$9),0)</f>
        <v>0.88</v>
      </c>
      <c r="S22" s="72" t="n">
        <f aca="false">IF(S$9&gt;0,INDEX(План_rew_доля,1,S$9),0)</f>
        <v>0.9</v>
      </c>
    </row>
    <row r="23" customFormat="false" ht="14.25" hidden="false" customHeight="false" outlineLevel="0" collapsed="false">
      <c r="B23" s="71" t="s">
        <v>213</v>
      </c>
      <c r="C23" s="27" t="s">
        <v>114</v>
      </c>
      <c r="D23" s="66" t="n">
        <f aca="false">SUMIF($H$8:$S$8,"Разработка",$H$23:$S$23)</f>
        <v>0</v>
      </c>
      <c r="E23" s="66" t="n">
        <f aca="false">SUMIF($H$8:$S$8,"Операционка",$H$23:$S$23)</f>
        <v>1151820</v>
      </c>
      <c r="F23" s="67" t="n">
        <f aca="false">SUM($H$23:$S$23)</f>
        <v>1151820</v>
      </c>
      <c r="H23" s="66" t="n">
        <f aca="false">H14*H22*Rew_просмотров*Дней_в_месяце</f>
        <v>0</v>
      </c>
      <c r="I23" s="66" t="n">
        <f aca="false">I14*I22*Rew_просмотров*Дней_в_месяце</f>
        <v>0</v>
      </c>
      <c r="J23" s="66" t="n">
        <f aca="false">J14*J22*Rew_просмотров*Дней_в_месяце</f>
        <v>0</v>
      </c>
      <c r="K23" s="66" t="n">
        <f aca="false">K14*K22*Rew_просмотров*Дней_в_месяце</f>
        <v>0</v>
      </c>
      <c r="L23" s="66" t="n">
        <f aca="false">L14*L22*Rew_просмотров*Дней_в_месяце</f>
        <v>21600</v>
      </c>
      <c r="M23" s="66" t="n">
        <f aca="false">M14*M22*Rew_просмотров*Дней_в_месяце</f>
        <v>43740</v>
      </c>
      <c r="N23" s="66" t="n">
        <f aca="false">N14*N22*Rew_просмотров*Дней_в_месяце</f>
        <v>74700</v>
      </c>
      <c r="O23" s="66" t="n">
        <f aca="false">O14*O22*Rew_просмотров*Дней_в_месяце</f>
        <v>107100</v>
      </c>
      <c r="P23" s="66" t="n">
        <f aca="false">P14*P22*Rew_просмотров*Дней_в_месяце</f>
        <v>139320</v>
      </c>
      <c r="Q23" s="66" t="n">
        <f aca="false">Q14*Q22*Rew_просмотров*Дней_в_месяце</f>
        <v>187920</v>
      </c>
      <c r="R23" s="66" t="n">
        <f aca="false">R14*R22*Rew_просмотров*Дней_в_месяце</f>
        <v>253440</v>
      </c>
      <c r="S23" s="66" t="n">
        <f aca="false">S14*S22*Rew_просмотров*Дней_в_месяце</f>
        <v>324000</v>
      </c>
    </row>
    <row r="24" customFormat="false" ht="14.25" hidden="false" customHeight="false" outlineLevel="0" collapsed="false">
      <c r="B24" s="71" t="s">
        <v>214</v>
      </c>
      <c r="C24" s="27" t="s">
        <v>90</v>
      </c>
      <c r="E24" s="66" t="n">
        <f aca="false">IFERROR(AVERAGEIF($H$8:$S$8,"Операционка",$H$24:$S$24),0)</f>
        <v>200</v>
      </c>
      <c r="F24" s="67" t="n">
        <f aca="false">IFERROR(AVERAGEIF($H$8:$S$8,"Операционка",$H$24:$S$24),0)</f>
        <v>200</v>
      </c>
      <c r="H24" s="66" t="n">
        <f aca="false">IF(H$9&gt;0,Rew_eCPM*Сц_eCPM,0)</f>
        <v>0</v>
      </c>
      <c r="I24" s="66" t="n">
        <f aca="false">IF(I$9&gt;0,Rew_eCPM*Сц_eCPM,0)</f>
        <v>0</v>
      </c>
      <c r="J24" s="66" t="n">
        <f aca="false">IF(J$9&gt;0,Rew_eCPM*Сц_eCPM,0)</f>
        <v>0</v>
      </c>
      <c r="K24" s="66" t="n">
        <f aca="false">IF(K$9&gt;0,Rew_eCPM*Сц_eCPM,0)</f>
        <v>0</v>
      </c>
      <c r="L24" s="66" t="n">
        <f aca="false">IF(L$9&gt;0,Rew_eCPM*Сц_eCPM,0)</f>
        <v>200</v>
      </c>
      <c r="M24" s="66" t="n">
        <f aca="false">IF(M$9&gt;0,Rew_eCPM*Сц_eCPM,0)</f>
        <v>200</v>
      </c>
      <c r="N24" s="66" t="n">
        <f aca="false">IF(N$9&gt;0,Rew_eCPM*Сц_eCPM,0)</f>
        <v>200</v>
      </c>
      <c r="O24" s="66" t="n">
        <f aca="false">IF(O$9&gt;0,Rew_eCPM*Сц_eCPM,0)</f>
        <v>200</v>
      </c>
      <c r="P24" s="66" t="n">
        <f aca="false">IF(P$9&gt;0,Rew_eCPM*Сц_eCPM,0)</f>
        <v>200</v>
      </c>
      <c r="Q24" s="66" t="n">
        <f aca="false">IF(Q$9&gt;0,Rew_eCPM*Сц_eCPM,0)</f>
        <v>200</v>
      </c>
      <c r="R24" s="66" t="n">
        <f aca="false">IF(R$9&gt;0,Rew_eCPM*Сц_eCPM,0)</f>
        <v>200</v>
      </c>
      <c r="S24" s="66" t="n">
        <f aca="false">IF(S$9&gt;0,Rew_eCPM*Сц_eCPM,0)</f>
        <v>200</v>
      </c>
    </row>
    <row r="25" customFormat="false" ht="14.25" hidden="false" customHeight="false" outlineLevel="0" collapsed="false">
      <c r="B25" s="68" t="s">
        <v>215</v>
      </c>
      <c r="C25" s="69" t="s">
        <v>90</v>
      </c>
      <c r="D25" s="70" t="n">
        <f aca="false">SUMIF($H$8:$S$8,"Разработка",$H$25:$S$25)</f>
        <v>0</v>
      </c>
      <c r="E25" s="70" t="n">
        <f aca="false">SUMIF($H$8:$S$8,"Операционка",$H$25:$S$25)</f>
        <v>230364</v>
      </c>
      <c r="F25" s="70" t="n">
        <f aca="false">SUM($H$25:$S$25)</f>
        <v>230364</v>
      </c>
      <c r="H25" s="70" t="n">
        <f aca="false">H23*H24/1000</f>
        <v>0</v>
      </c>
      <c r="I25" s="70" t="n">
        <f aca="false">I23*I24/1000</f>
        <v>0</v>
      </c>
      <c r="J25" s="70" t="n">
        <f aca="false">J23*J24/1000</f>
        <v>0</v>
      </c>
      <c r="K25" s="70" t="n">
        <f aca="false">K23*K24/1000</f>
        <v>0</v>
      </c>
      <c r="L25" s="70" t="n">
        <f aca="false">L23*L24/1000</f>
        <v>4320</v>
      </c>
      <c r="M25" s="70" t="n">
        <f aca="false">M23*M24/1000</f>
        <v>8748</v>
      </c>
      <c r="N25" s="70" t="n">
        <f aca="false">N23*N24/1000</f>
        <v>14940</v>
      </c>
      <c r="O25" s="70" t="n">
        <f aca="false">O23*O24/1000</f>
        <v>21420</v>
      </c>
      <c r="P25" s="70" t="n">
        <f aca="false">P23*P24/1000</f>
        <v>27864</v>
      </c>
      <c r="Q25" s="70" t="n">
        <f aca="false">Q23*Q24/1000</f>
        <v>37584</v>
      </c>
      <c r="R25" s="70" t="n">
        <f aca="false">R23*R24/1000</f>
        <v>50688</v>
      </c>
      <c r="S25" s="70" t="n">
        <f aca="false">S23*S24/1000</f>
        <v>64800</v>
      </c>
    </row>
    <row r="27" customFormat="false" ht="16.5" hidden="false" customHeight="true" outlineLevel="0" collapsed="false">
      <c r="B27" s="6" t="s">
        <v>216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customFormat="false" ht="14.25" hidden="false" customHeight="false" outlineLevel="0" collapsed="false">
      <c r="B28" s="71" t="s">
        <v>217</v>
      </c>
      <c r="C28" s="27" t="s">
        <v>106</v>
      </c>
      <c r="E28" s="74" t="n">
        <f aca="false">IFERROR(AVERAGEIF($H$8:$S$8,"Операционка",$H$28:$S$28),0)</f>
        <v>0.0083375</v>
      </c>
      <c r="F28" s="75" t="n">
        <f aca="false">IFERROR(AVERAGEIF($H$8:$S$8,"Операционка",$H$28:$S$28),0)</f>
        <v>0.0083375</v>
      </c>
      <c r="H28" s="74" t="n">
        <f aca="false">IF(H$9&gt;0,INDEX(План_конв,1,H$9)*Сц_конв,0)</f>
        <v>0</v>
      </c>
      <c r="I28" s="74" t="n">
        <f aca="false">IF(I$9&gt;0,INDEX(План_конв,1,I$9)*Сц_конв,0)</f>
        <v>0</v>
      </c>
      <c r="J28" s="74" t="n">
        <f aca="false">IF(J$9&gt;0,INDEX(План_конв,1,J$9)*Сц_конв,0)</f>
        <v>0</v>
      </c>
      <c r="K28" s="74" t="n">
        <f aca="false">IF(K$9&gt;0,INDEX(План_конв,1,K$9)*Сц_конв,0)</f>
        <v>0</v>
      </c>
      <c r="L28" s="74" t="n">
        <f aca="false">IF(L$9&gt;0,INDEX(План_конв,1,L$9)*Сц_конв,0)</f>
        <v>0.007</v>
      </c>
      <c r="M28" s="74" t="n">
        <f aca="false">IF(M$9&gt;0,INDEX(План_конв,1,M$9)*Сц_конв,0)</f>
        <v>0.0072</v>
      </c>
      <c r="N28" s="74" t="n">
        <f aca="false">IF(N$9&gt;0,INDEX(План_конв,1,N$9)*Сц_конв,0)</f>
        <v>0.0075</v>
      </c>
      <c r="O28" s="74" t="n">
        <f aca="false">IF(O$9&gt;0,INDEX(План_конв,1,O$9)*Сц_конв,0)</f>
        <v>0.008</v>
      </c>
      <c r="P28" s="74" t="n">
        <f aca="false">IF(P$9&gt;0,INDEX(План_конв,1,P$9)*Сц_конв,0)</f>
        <v>0.0085</v>
      </c>
      <c r="Q28" s="74" t="n">
        <f aca="false">IF(Q$9&gt;0,INDEX(План_конв,1,Q$9)*Сц_конв,0)</f>
        <v>0.009</v>
      </c>
      <c r="R28" s="74" t="n">
        <f aca="false">IF(R$9&gt;0,INDEX(План_конв,1,R$9)*Сц_конв,0)</f>
        <v>0.0095</v>
      </c>
      <c r="S28" s="74" t="n">
        <f aca="false">IF(S$9&gt;0,INDEX(План_конв,1,S$9)*Сц_конв,0)</f>
        <v>0.01</v>
      </c>
    </row>
    <row r="29" customFormat="false" ht="14.25" hidden="false" customHeight="false" outlineLevel="0" collapsed="false">
      <c r="B29" s="71" t="s">
        <v>218</v>
      </c>
      <c r="C29" s="27" t="s">
        <v>87</v>
      </c>
      <c r="D29" s="66" t="n">
        <f aca="false">SUMIF($H$8:$S$8,"Разработка",$H$29:$S$29)</f>
        <v>0</v>
      </c>
      <c r="E29" s="66" t="n">
        <f aca="false">SUMIF($H$8:$S$8,"Операционка",$H$29:$S$29)</f>
        <v>664</v>
      </c>
      <c r="F29" s="67" t="n">
        <f aca="false">SUM($H$29:$S$29)</f>
        <v>664</v>
      </c>
      <c r="H29" s="66" t="n">
        <f aca="false">ROUND(H13*H28,0)</f>
        <v>0</v>
      </c>
      <c r="I29" s="66" t="n">
        <f aca="false">ROUND(I13*I28,0)</f>
        <v>0</v>
      </c>
      <c r="J29" s="66" t="n">
        <f aca="false">ROUND(J13*J28,0)</f>
        <v>0</v>
      </c>
      <c r="K29" s="66" t="n">
        <f aca="false">ROUND(K13*K28,0)</f>
        <v>0</v>
      </c>
      <c r="L29" s="66" t="n">
        <f aca="false">ROUND(L13*L28,0)</f>
        <v>11</v>
      </c>
      <c r="M29" s="66" t="n">
        <f aca="false">ROUND(M13*M28,0)</f>
        <v>22</v>
      </c>
      <c r="N29" s="66" t="n">
        <f aca="false">ROUND(N13*N28,0)</f>
        <v>38</v>
      </c>
      <c r="O29" s="66" t="n">
        <f aca="false">ROUND(O13*O28,0)</f>
        <v>56</v>
      </c>
      <c r="P29" s="66" t="n">
        <f aca="false">ROUND(P13*P28,0)</f>
        <v>77</v>
      </c>
      <c r="Q29" s="66" t="n">
        <f aca="false">ROUND(Q13*Q28,0)</f>
        <v>108</v>
      </c>
      <c r="R29" s="66" t="n">
        <f aca="false">ROUND(R13*R28,0)</f>
        <v>152</v>
      </c>
      <c r="S29" s="66" t="n">
        <f aca="false">ROUND(S13*S28,0)</f>
        <v>200</v>
      </c>
    </row>
    <row r="30" customFormat="false" ht="14.25" hidden="false" customHeight="false" outlineLevel="0" collapsed="false">
      <c r="B30" s="71" t="s">
        <v>219</v>
      </c>
      <c r="C30" s="27" t="s">
        <v>90</v>
      </c>
      <c r="E30" s="66" t="n">
        <f aca="false">IFERROR(AVERAGEIF($H$8:$S$8,"Операционка",$H$30:$S$30),0)</f>
        <v>351.85</v>
      </c>
      <c r="F30" s="67" t="n">
        <f aca="false">IFERROR(AVERAGEIF($H$8:$S$8,"Операционка",$H$30:$S$30),0)</f>
        <v>351.85</v>
      </c>
      <c r="H30" s="66" t="n">
        <f aca="false">IF(H$9&gt;0,INDEX(План_ARPPU,1,H$9),0)+IF(H$9&gt;0,Энергия!$D$30,0)</f>
        <v>0</v>
      </c>
      <c r="I30" s="66" t="n">
        <f aca="false">IF(I$9&gt;0,INDEX(План_ARPPU,1,I$9),0)+IF(I$9&gt;0,Энергия!$D$30,0)</f>
        <v>0</v>
      </c>
      <c r="J30" s="66" t="n">
        <f aca="false">IF(J$9&gt;0,INDEX(План_ARPPU,1,J$9),0)+IF(J$9&gt;0,Энергия!$D$30,0)</f>
        <v>0</v>
      </c>
      <c r="K30" s="66" t="n">
        <f aca="false">IF(K$9&gt;0,INDEX(План_ARPPU,1,K$9),0)+IF(K$9&gt;0,Энергия!$D$30,0)</f>
        <v>0</v>
      </c>
      <c r="L30" s="66" t="n">
        <f aca="false">IF(L$9&gt;0,INDEX(План_ARPPU,1,L$9),0)+IF(L$9&gt;0,Энергия!$D$30,0)</f>
        <v>295.6</v>
      </c>
      <c r="M30" s="66" t="n">
        <f aca="false">IF(M$9&gt;0,INDEX(План_ARPPU,1,M$9),0)+IF(M$9&gt;0,Энергия!$D$30,0)</f>
        <v>325.6</v>
      </c>
      <c r="N30" s="66" t="n">
        <f aca="false">IF(N$9&gt;0,INDEX(План_ARPPU,1,N$9),0)+IF(N$9&gt;0,Энергия!$D$30,0)</f>
        <v>335.6</v>
      </c>
      <c r="O30" s="66" t="n">
        <f aca="false">IF(O$9&gt;0,INDEX(План_ARPPU,1,O$9),0)+IF(O$9&gt;0,Энергия!$D$30,0)</f>
        <v>345.6</v>
      </c>
      <c r="P30" s="66" t="n">
        <f aca="false">IF(P$9&gt;0,INDEX(План_ARPPU,1,P$9),0)+IF(P$9&gt;0,Энергия!$D$30,0)</f>
        <v>355.6</v>
      </c>
      <c r="Q30" s="66" t="n">
        <f aca="false">IF(Q$9&gt;0,INDEX(План_ARPPU,1,Q$9),0)+IF(Q$9&gt;0,Энергия!$D$30,0)</f>
        <v>375.6</v>
      </c>
      <c r="R30" s="66" t="n">
        <f aca="false">IF(R$9&gt;0,INDEX(План_ARPPU,1,R$9),0)+IF(R$9&gt;0,Энергия!$D$30,0)</f>
        <v>385.6</v>
      </c>
      <c r="S30" s="66" t="n">
        <f aca="false">IF(S$9&gt;0,INDEX(План_ARPPU,1,S$9),0)+IF(S$9&gt;0,Энергия!$D$30,0)</f>
        <v>395.6</v>
      </c>
    </row>
    <row r="31" customFormat="false" ht="14.25" hidden="false" customHeight="false" outlineLevel="0" collapsed="false">
      <c r="B31" s="68" t="s">
        <v>220</v>
      </c>
      <c r="C31" s="69" t="s">
        <v>90</v>
      </c>
      <c r="D31" s="70" t="n">
        <f aca="false">SUMIF($H$8:$S$8,"Разработка",$H$31:$S$31)</f>
        <v>0</v>
      </c>
      <c r="E31" s="70" t="n">
        <f aca="false">SUMIF($H$8:$S$8,"Операционка",$H$31:$S$31)</f>
        <v>248198.4</v>
      </c>
      <c r="F31" s="70" t="n">
        <f aca="false">SUM($H$31:$S$31)</f>
        <v>248198.4</v>
      </c>
      <c r="H31" s="70" t="n">
        <f aca="false">H29*H30</f>
        <v>0</v>
      </c>
      <c r="I31" s="70" t="n">
        <f aca="false">I29*I30</f>
        <v>0</v>
      </c>
      <c r="J31" s="70" t="n">
        <f aca="false">J29*J30</f>
        <v>0</v>
      </c>
      <c r="K31" s="70" t="n">
        <f aca="false">K29*K30</f>
        <v>0</v>
      </c>
      <c r="L31" s="70" t="n">
        <f aca="false">L29*L30</f>
        <v>3251.6</v>
      </c>
      <c r="M31" s="70" t="n">
        <f aca="false">M29*M30</f>
        <v>7163.2</v>
      </c>
      <c r="N31" s="70" t="n">
        <f aca="false">N29*N30</f>
        <v>12752.8</v>
      </c>
      <c r="O31" s="70" t="n">
        <f aca="false">O29*O30</f>
        <v>19353.6</v>
      </c>
      <c r="P31" s="70" t="n">
        <f aca="false">P29*P30</f>
        <v>27381.2</v>
      </c>
      <c r="Q31" s="70" t="n">
        <f aca="false">Q29*Q30</f>
        <v>40564.8</v>
      </c>
      <c r="R31" s="70" t="n">
        <f aca="false">R29*R30</f>
        <v>58611.2</v>
      </c>
      <c r="S31" s="70" t="n">
        <f aca="false">S29*S30</f>
        <v>79120</v>
      </c>
    </row>
    <row r="33" customFormat="false" ht="16.5" hidden="false" customHeight="true" outlineLevel="0" collapsed="false">
      <c r="B33" s="6" t="s">
        <v>166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customFormat="false" ht="14.25" hidden="false" customHeight="false" outlineLevel="0" collapsed="false">
      <c r="B34" s="65" t="s">
        <v>221</v>
      </c>
      <c r="C34" s="27" t="s">
        <v>90</v>
      </c>
      <c r="D34" s="66" t="n">
        <f aca="false">SUMIF($H$8:$S$8,"Разработка",$H$34:$S$34)</f>
        <v>0</v>
      </c>
      <c r="E34" s="66" t="n">
        <f aca="false">SUMIF($H$8:$S$8,"Операционка",$H$34:$S$34)</f>
        <v>364317.75</v>
      </c>
      <c r="F34" s="67" t="n">
        <f aca="false">SUM($H$34:$S$34)</f>
        <v>364317.75</v>
      </c>
      <c r="H34" s="66" t="n">
        <f aca="false">H19+H25</f>
        <v>0</v>
      </c>
      <c r="I34" s="66" t="n">
        <f aca="false">I19+I25</f>
        <v>0</v>
      </c>
      <c r="J34" s="66" t="n">
        <f aca="false">J19+J25</f>
        <v>0</v>
      </c>
      <c r="K34" s="66" t="n">
        <f aca="false">K19+K25</f>
        <v>0</v>
      </c>
      <c r="L34" s="66" t="n">
        <f aca="false">L19+L25</f>
        <v>7053.75</v>
      </c>
      <c r="M34" s="66" t="n">
        <f aca="false">M19+M25</f>
        <v>14215.5</v>
      </c>
      <c r="N34" s="66" t="n">
        <f aca="false">N19+N25</f>
        <v>24052.5</v>
      </c>
      <c r="O34" s="66" t="n">
        <f aca="false">O19+O25</f>
        <v>34177.5</v>
      </c>
      <c r="P34" s="66" t="n">
        <f aca="false">P19+P25</f>
        <v>44266.5</v>
      </c>
      <c r="Q34" s="66" t="n">
        <f aca="false">Q19+Q25</f>
        <v>59454</v>
      </c>
      <c r="R34" s="66" t="n">
        <f aca="false">R19+R25</f>
        <v>79848</v>
      </c>
      <c r="S34" s="66" t="n">
        <f aca="false">S19+S25</f>
        <v>101250</v>
      </c>
    </row>
    <row r="35" customFormat="false" ht="14.25" hidden="false" customHeight="false" outlineLevel="0" collapsed="false">
      <c r="B35" s="65" t="s">
        <v>220</v>
      </c>
      <c r="C35" s="27" t="s">
        <v>90</v>
      </c>
      <c r="D35" s="66" t="n">
        <f aca="false">SUMIF($H$8:$S$8,"Разработка",$H$35:$S$35)</f>
        <v>0</v>
      </c>
      <c r="E35" s="66" t="n">
        <f aca="false">SUMIF($H$8:$S$8,"Операционка",$H$35:$S$35)</f>
        <v>248198.4</v>
      </c>
      <c r="F35" s="67" t="n">
        <f aca="false">SUM($H$35:$S$35)</f>
        <v>248198.4</v>
      </c>
      <c r="H35" s="66" t="n">
        <f aca="false">H31</f>
        <v>0</v>
      </c>
      <c r="I35" s="66" t="n">
        <f aca="false">I31</f>
        <v>0</v>
      </c>
      <c r="J35" s="66" t="n">
        <f aca="false">J31</f>
        <v>0</v>
      </c>
      <c r="K35" s="66" t="n">
        <f aca="false">K31</f>
        <v>0</v>
      </c>
      <c r="L35" s="66" t="n">
        <f aca="false">L31</f>
        <v>3251.6</v>
      </c>
      <c r="M35" s="66" t="n">
        <f aca="false">M31</f>
        <v>7163.2</v>
      </c>
      <c r="N35" s="66" t="n">
        <f aca="false">N31</f>
        <v>12752.8</v>
      </c>
      <c r="O35" s="66" t="n">
        <f aca="false">O31</f>
        <v>19353.6</v>
      </c>
      <c r="P35" s="66" t="n">
        <f aca="false">P31</f>
        <v>27381.2</v>
      </c>
      <c r="Q35" s="66" t="n">
        <f aca="false">Q31</f>
        <v>40564.8</v>
      </c>
      <c r="R35" s="66" t="n">
        <f aca="false">R31</f>
        <v>58611.2</v>
      </c>
      <c r="S35" s="66" t="n">
        <f aca="false">S31</f>
        <v>79120</v>
      </c>
    </row>
    <row r="36" customFormat="false" ht="14.25" hidden="false" customHeight="false" outlineLevel="0" collapsed="false">
      <c r="B36" s="76" t="s">
        <v>222</v>
      </c>
      <c r="C36" s="77" t="s">
        <v>90</v>
      </c>
      <c r="D36" s="78" t="n">
        <f aca="false">SUMIF($H$8:$S$8,"Разработка",$H$36:$S$36)</f>
        <v>0</v>
      </c>
      <c r="E36" s="78" t="n">
        <f aca="false">SUMIF($H$8:$S$8,"Операционка",$H$36:$S$36)</f>
        <v>612516.15</v>
      </c>
      <c r="F36" s="78" t="n">
        <f aca="false">SUM($H$36:$S$36)</f>
        <v>612516.15</v>
      </c>
      <c r="G36" s="79"/>
      <c r="H36" s="78" t="n">
        <f aca="false">H34+H35</f>
        <v>0</v>
      </c>
      <c r="I36" s="78" t="n">
        <f aca="false">I34+I35</f>
        <v>0</v>
      </c>
      <c r="J36" s="78" t="n">
        <f aca="false">J34+J35</f>
        <v>0</v>
      </c>
      <c r="K36" s="78" t="n">
        <f aca="false">K34+K35</f>
        <v>0</v>
      </c>
      <c r="L36" s="78" t="n">
        <f aca="false">L34+L35</f>
        <v>10305.35</v>
      </c>
      <c r="M36" s="78" t="n">
        <f aca="false">M34+M35</f>
        <v>21378.7</v>
      </c>
      <c r="N36" s="78" t="n">
        <f aca="false">N34+N35</f>
        <v>36805.3</v>
      </c>
      <c r="O36" s="78" t="n">
        <f aca="false">O34+O35</f>
        <v>53531.1</v>
      </c>
      <c r="P36" s="78" t="n">
        <f aca="false">P34+P35</f>
        <v>71647.7</v>
      </c>
      <c r="Q36" s="78" t="n">
        <f aca="false">Q34+Q35</f>
        <v>100018.8</v>
      </c>
      <c r="R36" s="78" t="n">
        <f aca="false">R34+R35</f>
        <v>138459.2</v>
      </c>
      <c r="S36" s="78" t="n">
        <f aca="false">S34+S35</f>
        <v>180370</v>
      </c>
    </row>
    <row r="37" customFormat="false" ht="14.25" hidden="false" customHeight="false" outlineLevel="0" collapsed="false">
      <c r="B37" s="65" t="s">
        <v>223</v>
      </c>
      <c r="C37" s="27" t="s">
        <v>106</v>
      </c>
      <c r="D37" s="72" t="n">
        <f aca="false">IF(D36&lt;&gt;0,D34/D36,0)</f>
        <v>0</v>
      </c>
      <c r="E37" s="72" t="n">
        <f aca="false">IF(E36&lt;&gt;0,E34/E36,0)</f>
        <v>0.594788806793094</v>
      </c>
      <c r="F37" s="73" t="n">
        <f aca="false">IF(F36&lt;&gt;0,F34/F36,0)</f>
        <v>0.594788806793094</v>
      </c>
      <c r="H37" s="72" t="n">
        <f aca="false">IF(H36&gt;0,H34/H36,0)</f>
        <v>0</v>
      </c>
      <c r="I37" s="72" t="n">
        <f aca="false">IF(I36&gt;0,I34/I36,0)</f>
        <v>0</v>
      </c>
      <c r="J37" s="72" t="n">
        <f aca="false">IF(J36&gt;0,J34/J36,0)</f>
        <v>0</v>
      </c>
      <c r="K37" s="72" t="n">
        <f aca="false">IF(K36&gt;0,K34/K36,0)</f>
        <v>0</v>
      </c>
      <c r="L37" s="72" t="n">
        <f aca="false">IF(L36&gt;0,L34/L36,0)</f>
        <v>0.684474569034531</v>
      </c>
      <c r="M37" s="72" t="n">
        <f aca="false">IF(M36&gt;0,M34/M36,0)</f>
        <v>0.664937531281135</v>
      </c>
      <c r="N37" s="72" t="n">
        <f aca="false">IF(N36&gt;0,N34/N36,0)</f>
        <v>0.653506424346494</v>
      </c>
      <c r="O37" s="72" t="n">
        <f aca="false">IF(O36&gt;0,O34/O36,0)</f>
        <v>0.638460633164646</v>
      </c>
      <c r="P37" s="72" t="n">
        <f aca="false">IF(P36&gt;0,P34/P36,0)</f>
        <v>0.617835603934251</v>
      </c>
      <c r="Q37" s="72" t="n">
        <f aca="false">IF(Q36&gt;0,Q34/Q36,0)</f>
        <v>0.594428247489472</v>
      </c>
      <c r="R37" s="72" t="n">
        <f aca="false">IF(R36&gt;0,R34/R36,0)</f>
        <v>0.576689739648936</v>
      </c>
      <c r="S37" s="72" t="n">
        <f aca="false">IF(S36&gt;0,S34/S36,0)</f>
        <v>0.56134612186062</v>
      </c>
    </row>
    <row r="38" customFormat="false" ht="14.25" hidden="false" customHeight="false" outlineLevel="0" collapsed="false">
      <c r="B38" s="65" t="s">
        <v>224</v>
      </c>
      <c r="C38" s="27" t="s">
        <v>90</v>
      </c>
      <c r="E38" s="80" t="n">
        <f aca="false">IFERROR(E36/SUMIF($H$8:$S$8,"Операционка",$H$13:$S$13),0)</f>
        <v>8.33355306122449</v>
      </c>
      <c r="F38" s="81" t="n">
        <f aca="false">IFERROR(F36/SUM($H$13:$S$13),0)</f>
        <v>8.33355306122449</v>
      </c>
      <c r="H38" s="80" t="n">
        <f aca="false">IF(H13&gt;0,H36/H13,0)</f>
        <v>0</v>
      </c>
      <c r="I38" s="80" t="n">
        <f aca="false">IF(I13&gt;0,I36/I13,0)</f>
        <v>0</v>
      </c>
      <c r="J38" s="80" t="n">
        <f aca="false">IF(J13&gt;0,J36/J13,0)</f>
        <v>0</v>
      </c>
      <c r="K38" s="80" t="n">
        <f aca="false">IF(K13&gt;0,K36/K13,0)</f>
        <v>0</v>
      </c>
      <c r="L38" s="80" t="n">
        <f aca="false">IF(L13&gt;0,L36/L13,0)</f>
        <v>6.87023333333333</v>
      </c>
      <c r="M38" s="80" t="n">
        <f aca="false">IF(M13&gt;0,M36/M13,0)</f>
        <v>7.12623333333333</v>
      </c>
      <c r="N38" s="80" t="n">
        <f aca="false">IF(N13&gt;0,N36/N13,0)</f>
        <v>7.36106</v>
      </c>
      <c r="O38" s="80" t="n">
        <f aca="false">IF(O13&gt;0,O36/O13,0)</f>
        <v>7.6473</v>
      </c>
      <c r="P38" s="80" t="n">
        <f aca="false">IF(P13&gt;0,P36/P13,0)</f>
        <v>7.96085555555556</v>
      </c>
      <c r="Q38" s="80" t="n">
        <f aca="false">IF(Q13&gt;0,Q36/Q13,0)</f>
        <v>8.3349</v>
      </c>
      <c r="R38" s="80" t="n">
        <f aca="false">IF(R13&gt;0,R36/R13,0)</f>
        <v>8.6537</v>
      </c>
      <c r="S38" s="80" t="n">
        <f aca="false">IF(S13&gt;0,S36/S13,0)</f>
        <v>9.0185</v>
      </c>
    </row>
    <row r="40" customFormat="false" ht="16.5" hidden="false" customHeight="true" outlineLevel="0" collapsed="false">
      <c r="B40" s="6" t="s">
        <v>225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 customFormat="false" ht="14.25" hidden="false" customHeight="false" outlineLevel="1" collapsed="false">
      <c r="B41" s="82" t="s">
        <v>226</v>
      </c>
      <c r="C41" s="27" t="s">
        <v>90</v>
      </c>
      <c r="D41" s="26"/>
      <c r="E41" s="83" t="n">
        <f aca="false">IFERROR(AVERAGEIF($H$8:$S$8,"Операционка",$H$41:$S$41),0)</f>
        <v>1.8225</v>
      </c>
      <c r="F41" s="83" t="n">
        <f aca="false">IFERROR(AVERAGEIF($H$8:$S$8,"Операционка",$H$41:$S$41),0)</f>
        <v>1.8225</v>
      </c>
      <c r="H41" s="83" t="n">
        <f aca="false">IF(H$9&gt;0,DAU_MAU*Int_доля*Int_показов*Дней_в_месяце*Int_eCPM/1000,0)</f>
        <v>0</v>
      </c>
      <c r="I41" s="83" t="n">
        <f aca="false">IF(I$9&gt;0,DAU_MAU*Int_доля*Int_показов*Дней_в_месяце*Int_eCPM/1000,0)</f>
        <v>0</v>
      </c>
      <c r="J41" s="83" t="n">
        <f aca="false">IF(J$9&gt;0,DAU_MAU*Int_доля*Int_показов*Дней_в_месяце*Int_eCPM/1000,0)</f>
        <v>0</v>
      </c>
      <c r="K41" s="83" t="n">
        <f aca="false">IF(K$9&gt;0,DAU_MAU*Int_доля*Int_показов*Дней_в_месяце*Int_eCPM/1000,0)</f>
        <v>0</v>
      </c>
      <c r="L41" s="83" t="n">
        <f aca="false">IF(L$9&gt;0,DAU_MAU*Int_доля*Int_показов*Дней_в_месяце*Int_eCPM/1000,0)</f>
        <v>1.8225</v>
      </c>
      <c r="M41" s="83" t="n">
        <f aca="false">IF(M$9&gt;0,DAU_MAU*Int_доля*Int_показов*Дней_в_месяце*Int_eCPM/1000,0)</f>
        <v>1.8225</v>
      </c>
      <c r="N41" s="83" t="n">
        <f aca="false">IF(N$9&gt;0,DAU_MAU*Int_доля*Int_показов*Дней_в_месяце*Int_eCPM/1000,0)</f>
        <v>1.8225</v>
      </c>
      <c r="O41" s="83" t="n">
        <f aca="false">IF(O$9&gt;0,DAU_MAU*Int_доля*Int_показов*Дней_в_месяце*Int_eCPM/1000,0)</f>
        <v>1.8225</v>
      </c>
      <c r="P41" s="83" t="n">
        <f aca="false">IF(P$9&gt;0,DAU_MAU*Int_доля*Int_показов*Дней_в_месяце*Int_eCPM/1000,0)</f>
        <v>1.8225</v>
      </c>
      <c r="Q41" s="83" t="n">
        <f aca="false">IF(Q$9&gt;0,DAU_MAU*Int_доля*Int_показов*Дней_в_месяце*Int_eCPM/1000,0)</f>
        <v>1.8225</v>
      </c>
      <c r="R41" s="83" t="n">
        <f aca="false">IF(R$9&gt;0,DAU_MAU*Int_доля*Int_показов*Дней_в_месяце*Int_eCPM/1000,0)</f>
        <v>1.8225</v>
      </c>
      <c r="S41" s="83" t="n">
        <f aca="false">IF(S$9&gt;0,DAU_MAU*Int_доля*Int_показов*Дней_в_месяце*Int_eCPM/1000,0)</f>
        <v>1.8225</v>
      </c>
    </row>
    <row r="42" customFormat="false" ht="14.25" hidden="false" customHeight="false" outlineLevel="1" collapsed="false">
      <c r="B42" s="82" t="s">
        <v>227</v>
      </c>
      <c r="C42" s="27" t="s">
        <v>90</v>
      </c>
      <c r="D42" s="26"/>
      <c r="E42" s="83" t="n">
        <f aca="false">IFERROR(AVERAGEIF($H$8:$S$8,"Операционка",$H$42:$S$42),0)</f>
        <v>3.06</v>
      </c>
      <c r="F42" s="83" t="n">
        <f aca="false">IFERROR(AVERAGEIF($H$8:$S$8,"Операционка",$H$42:$S$42),0)</f>
        <v>3.06</v>
      </c>
      <c r="H42" s="83" t="n">
        <f aca="false">IF(H$9&gt;0,DAU_MAU*H22*Rew_просмотров*Дней_в_месяце*Rew_eCPM/1000,0)</f>
        <v>0</v>
      </c>
      <c r="I42" s="83" t="n">
        <f aca="false">IF(I$9&gt;0,DAU_MAU*I22*Rew_просмотров*Дней_в_месяце*Rew_eCPM/1000,0)</f>
        <v>0</v>
      </c>
      <c r="J42" s="83" t="n">
        <f aca="false">IF(J$9&gt;0,DAU_MAU*J22*Rew_просмотров*Дней_в_месяце*Rew_eCPM/1000,0)</f>
        <v>0</v>
      </c>
      <c r="K42" s="83" t="n">
        <f aca="false">IF(K$9&gt;0,DAU_MAU*K22*Rew_просмотров*Дней_в_месяце*Rew_eCPM/1000,0)</f>
        <v>0</v>
      </c>
      <c r="L42" s="83" t="n">
        <f aca="false">IF(L$9&gt;0,DAU_MAU*L22*Rew_просмотров*Дней_в_месяце*Rew_eCPM/1000,0)</f>
        <v>2.88</v>
      </c>
      <c r="M42" s="83" t="n">
        <f aca="false">IF(M$9&gt;0,DAU_MAU*M22*Rew_просмотров*Дней_в_месяце*Rew_eCPM/1000,0)</f>
        <v>2.916</v>
      </c>
      <c r="N42" s="83" t="n">
        <f aca="false">IF(N$9&gt;0,DAU_MAU*N22*Rew_просмотров*Дней_в_месяце*Rew_eCPM/1000,0)</f>
        <v>2.988</v>
      </c>
      <c r="O42" s="83" t="n">
        <f aca="false">IF(O$9&gt;0,DAU_MAU*O22*Rew_просмотров*Дней_в_месяце*Rew_eCPM/1000,0)</f>
        <v>3.06</v>
      </c>
      <c r="P42" s="83" t="n">
        <f aca="false">IF(P$9&gt;0,DAU_MAU*P22*Rew_просмотров*Дней_в_месяце*Rew_eCPM/1000,0)</f>
        <v>3.096</v>
      </c>
      <c r="Q42" s="83" t="n">
        <f aca="false">IF(Q$9&gt;0,DAU_MAU*Q22*Rew_просмотров*Дней_в_месяце*Rew_eCPM/1000,0)</f>
        <v>3.132</v>
      </c>
      <c r="R42" s="83" t="n">
        <f aca="false">IF(R$9&gt;0,DAU_MAU*R22*Rew_просмотров*Дней_в_месяце*Rew_eCPM/1000,0)</f>
        <v>3.168</v>
      </c>
      <c r="S42" s="83" t="n">
        <f aca="false">IF(S$9&gt;0,DAU_MAU*S22*Rew_просмотров*Дней_в_месяце*Rew_eCPM/1000,0)</f>
        <v>3.24</v>
      </c>
    </row>
    <row r="43" customFormat="false" ht="14.25" hidden="false" customHeight="false" outlineLevel="1" collapsed="false">
      <c r="B43" s="82" t="s">
        <v>228</v>
      </c>
      <c r="C43" s="27" t="s">
        <v>106</v>
      </c>
      <c r="D43" s="26"/>
      <c r="E43" s="84" t="n">
        <f aca="false">IFERROR(AVERAGEIF($H$8:$S$8,"Операционка",$H$43:$S$43),0)</f>
        <v>0.0083375</v>
      </c>
      <c r="F43" s="84" t="n">
        <f aca="false">IFERROR(AVERAGEIF($H$8:$S$8,"Операционка",$H$43:$S$43),0)</f>
        <v>0.0083375</v>
      </c>
      <c r="H43" s="84" t="n">
        <f aca="false">IF(H$9&gt;0,INDEX(План_конв,1,H$9),0)</f>
        <v>0</v>
      </c>
      <c r="I43" s="84" t="n">
        <f aca="false">IF(I$9&gt;0,INDEX(План_конв,1,I$9),0)</f>
        <v>0</v>
      </c>
      <c r="J43" s="84" t="n">
        <f aca="false">IF(J$9&gt;0,INDEX(План_конв,1,J$9),0)</f>
        <v>0</v>
      </c>
      <c r="K43" s="84" t="n">
        <f aca="false">IF(K$9&gt;0,INDEX(План_конв,1,K$9),0)</f>
        <v>0</v>
      </c>
      <c r="L43" s="84" t="n">
        <f aca="false">IF(L$9&gt;0,INDEX(План_конв,1,L$9),0)</f>
        <v>0.007</v>
      </c>
      <c r="M43" s="84" t="n">
        <f aca="false">IF(M$9&gt;0,INDEX(План_конв,1,M$9),0)</f>
        <v>0.0072</v>
      </c>
      <c r="N43" s="84" t="n">
        <f aca="false">IF(N$9&gt;0,INDEX(План_конв,1,N$9),0)</f>
        <v>0.0075</v>
      </c>
      <c r="O43" s="84" t="n">
        <f aca="false">IF(O$9&gt;0,INDEX(План_конв,1,O$9),0)</f>
        <v>0.008</v>
      </c>
      <c r="P43" s="84" t="n">
        <f aca="false">IF(P$9&gt;0,INDEX(План_конв,1,P$9),0)</f>
        <v>0.0085</v>
      </c>
      <c r="Q43" s="84" t="n">
        <f aca="false">IF(Q$9&gt;0,INDEX(План_конв,1,Q$9),0)</f>
        <v>0.009</v>
      </c>
      <c r="R43" s="84" t="n">
        <f aca="false">IF(R$9&gt;0,INDEX(План_конв,1,R$9),0)</f>
        <v>0.0095</v>
      </c>
      <c r="S43" s="84" t="n">
        <f aca="false">IF(S$9&gt;0,INDEX(План_конв,1,S$9),0)</f>
        <v>0.01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S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customHeight="true" zeroHeight="false" outlineLevelRow="0" outlineLevelCol="0"/>
  <cols>
    <col collapsed="false" customWidth="true" hidden="false" outlineLevel="0" max="2" min="2" style="1" width="56.69"/>
    <col collapsed="false" customWidth="true" hidden="false" outlineLevel="0" max="6" min="3" style="1" width="12.96"/>
  </cols>
  <sheetData>
    <row r="2" customFormat="false" ht="19.7" hidden="false" customHeight="false" outlineLevel="0" collapsed="false">
      <c r="B2" s="85" t="s">
        <v>229</v>
      </c>
    </row>
    <row r="3" customFormat="false" ht="13.8" hidden="false" customHeight="false" outlineLevel="0" collapsed="false">
      <c r="B3" s="1" t="s">
        <v>230</v>
      </c>
    </row>
    <row r="5" customFormat="false" ht="13.8" hidden="false" customHeight="false" outlineLevel="0" collapsed="false">
      <c r="B5" s="86" t="s">
        <v>51</v>
      </c>
      <c r="C5" s="86" t="s">
        <v>128</v>
      </c>
      <c r="D5" s="86" t="s">
        <v>231</v>
      </c>
      <c r="E5" s="86" t="s">
        <v>139</v>
      </c>
      <c r="F5" s="86" t="s">
        <v>232</v>
      </c>
      <c r="H5" s="86" t="str">
        <f aca="false">Выручка!H$5</f>
        <v>Сен 2026</v>
      </c>
      <c r="I5" s="86" t="str">
        <f aca="false">Выручка!I$5</f>
        <v>Окт 2026</v>
      </c>
      <c r="J5" s="86" t="str">
        <f aca="false">Выручка!J$5</f>
        <v>Ноя 2026</v>
      </c>
      <c r="K5" s="86" t="str">
        <f aca="false">Выручка!K$5</f>
        <v>Дек 2026</v>
      </c>
      <c r="L5" s="86" t="str">
        <f aca="false">Выручка!L$5</f>
        <v>Янв 2027</v>
      </c>
      <c r="M5" s="86" t="str">
        <f aca="false">Выручка!M$5</f>
        <v>Фев 2027</v>
      </c>
      <c r="N5" s="86" t="str">
        <f aca="false">Выручка!N$5</f>
        <v>Мар 2027</v>
      </c>
      <c r="O5" s="86" t="str">
        <f aca="false">Выручка!O$5</f>
        <v>Апр 2027</v>
      </c>
      <c r="P5" s="86" t="str">
        <f aca="false">Выручка!P$5</f>
        <v>Май 2027</v>
      </c>
      <c r="Q5" s="86" t="str">
        <f aca="false">Выручка!Q$5</f>
        <v>Июн 2027</v>
      </c>
      <c r="R5" s="86" t="str">
        <f aca="false">Выручка!R$5</f>
        <v>Июл 2027</v>
      </c>
      <c r="S5" s="86" t="str">
        <f aca="false">Выручка!S$5</f>
        <v>Авг 2027</v>
      </c>
    </row>
    <row r="6" customFormat="false" ht="13.8" hidden="false" customHeight="false" outlineLevel="0" collapsed="false">
      <c r="B6" s="1" t="s">
        <v>199</v>
      </c>
      <c r="H6" s="87" t="n">
        <f aca="false">Выручка!H$6</f>
        <v>1</v>
      </c>
      <c r="I6" s="87" t="n">
        <f aca="false">Выручка!I$6</f>
        <v>2</v>
      </c>
      <c r="J6" s="87" t="n">
        <f aca="false">Выручка!J$6</f>
        <v>3</v>
      </c>
      <c r="K6" s="87" t="n">
        <f aca="false">Выручка!K$6</f>
        <v>4</v>
      </c>
      <c r="L6" s="87" t="n">
        <f aca="false">Выручка!L$6</f>
        <v>5</v>
      </c>
      <c r="M6" s="87" t="n">
        <f aca="false">Выручка!M$6</f>
        <v>6</v>
      </c>
      <c r="N6" s="87" t="n">
        <f aca="false">Выручка!N$6</f>
        <v>7</v>
      </c>
      <c r="O6" s="87" t="n">
        <f aca="false">Выручка!O$6</f>
        <v>8</v>
      </c>
      <c r="P6" s="87" t="n">
        <f aca="false">Выручка!P$6</f>
        <v>9</v>
      </c>
      <c r="Q6" s="87" t="n">
        <f aca="false">Выручка!Q$6</f>
        <v>10</v>
      </c>
      <c r="R6" s="87" t="n">
        <f aca="false">Выручка!R$6</f>
        <v>11</v>
      </c>
      <c r="S6" s="87" t="n">
        <f aca="false">Выручка!S$6</f>
        <v>12</v>
      </c>
    </row>
    <row r="7" customFormat="false" ht="13.8" hidden="false" customHeight="false" outlineLevel="0" collapsed="false">
      <c r="B7" s="1" t="s">
        <v>200</v>
      </c>
      <c r="H7" s="88" t="n">
        <f aca="false">Выручка!H$7</f>
        <v>46266</v>
      </c>
      <c r="I7" s="88" t="n">
        <f aca="false">Выручка!I$7</f>
        <v>46296</v>
      </c>
      <c r="J7" s="88" t="n">
        <f aca="false">Выручка!J$7</f>
        <v>46327</v>
      </c>
      <c r="K7" s="88" t="n">
        <f aca="false">Выручка!K$7</f>
        <v>46357</v>
      </c>
      <c r="L7" s="88" t="n">
        <f aca="false">Выручка!L$7</f>
        <v>46388</v>
      </c>
      <c r="M7" s="88" t="n">
        <f aca="false">Выручка!M$7</f>
        <v>46419</v>
      </c>
      <c r="N7" s="88" t="n">
        <f aca="false">Выручка!N$7</f>
        <v>46447</v>
      </c>
      <c r="O7" s="88" t="n">
        <f aca="false">Выручка!O$7</f>
        <v>46478</v>
      </c>
      <c r="P7" s="88" t="n">
        <f aca="false">Выручка!P$7</f>
        <v>46508</v>
      </c>
      <c r="Q7" s="88" t="n">
        <f aca="false">Выручка!Q$7</f>
        <v>46539</v>
      </c>
      <c r="R7" s="88" t="n">
        <f aca="false">Выручка!R$7</f>
        <v>46569</v>
      </c>
      <c r="S7" s="88" t="n">
        <f aca="false">Выручка!S$7</f>
        <v>46600</v>
      </c>
    </row>
    <row r="8" customFormat="false" ht="13.8" hidden="false" customHeight="false" outlineLevel="0" collapsed="false">
      <c r="B8" s="1" t="s">
        <v>201</v>
      </c>
      <c r="H8" s="1" t="str">
        <f aca="false">Выручка!H$8</f>
        <v>Разработка</v>
      </c>
      <c r="I8" s="1" t="str">
        <f aca="false">Выручка!I$8</f>
        <v>Разработка</v>
      </c>
      <c r="J8" s="1" t="str">
        <f aca="false">Выручка!J$8</f>
        <v>Разработка</v>
      </c>
      <c r="K8" s="1" t="str">
        <f aca="false">Выручка!K$8</f>
        <v>Разработка</v>
      </c>
      <c r="L8" s="1" t="str">
        <f aca="false">Выручка!L$8</f>
        <v>Операционка</v>
      </c>
      <c r="M8" s="1" t="str">
        <f aca="false">Выручка!M$8</f>
        <v>Операционка</v>
      </c>
      <c r="N8" s="1" t="str">
        <f aca="false">Выручка!N$8</f>
        <v>Операционка</v>
      </c>
      <c r="O8" s="1" t="str">
        <f aca="false">Выручка!O$8</f>
        <v>Операционка</v>
      </c>
      <c r="P8" s="1" t="str">
        <f aca="false">Выручка!P$8</f>
        <v>Операционка</v>
      </c>
      <c r="Q8" s="1" t="str">
        <f aca="false">Выручка!Q$8</f>
        <v>Операционка</v>
      </c>
      <c r="R8" s="1" t="str">
        <f aca="false">Выручка!R$8</f>
        <v>Операционка</v>
      </c>
      <c r="S8" s="1" t="str">
        <f aca="false">Выручка!S$8</f>
        <v>Операционка</v>
      </c>
    </row>
    <row r="9" customFormat="false" ht="13.8" hidden="false" customHeight="false" outlineLevel="0" collapsed="false">
      <c r="B9" s="1" t="s">
        <v>202</v>
      </c>
      <c r="H9" s="87" t="n">
        <f aca="false">Выручка!H$9</f>
        <v>0</v>
      </c>
      <c r="I9" s="87" t="n">
        <f aca="false">Выручка!I$9</f>
        <v>0</v>
      </c>
      <c r="J9" s="87" t="n">
        <f aca="false">Выручка!J$9</f>
        <v>0</v>
      </c>
      <c r="K9" s="87" t="n">
        <f aca="false">Выручка!K$9</f>
        <v>0</v>
      </c>
      <c r="L9" s="87" t="n">
        <f aca="false">Выручка!L$9</f>
        <v>1</v>
      </c>
      <c r="M9" s="87" t="n">
        <f aca="false">Выручка!M$9</f>
        <v>2</v>
      </c>
      <c r="N9" s="87" t="n">
        <f aca="false">Выручка!N$9</f>
        <v>3</v>
      </c>
      <c r="O9" s="87" t="n">
        <f aca="false">Выручка!O$9</f>
        <v>4</v>
      </c>
      <c r="P9" s="87" t="n">
        <f aca="false">Выручка!P$9</f>
        <v>5</v>
      </c>
      <c r="Q9" s="87" t="n">
        <f aca="false">Выручка!Q$9</f>
        <v>6</v>
      </c>
      <c r="R9" s="87" t="n">
        <f aca="false">Выручка!R$9</f>
        <v>7</v>
      </c>
      <c r="S9" s="87" t="n">
        <f aca="false">Выручка!S$9</f>
        <v>8</v>
      </c>
    </row>
    <row r="11" customFormat="false" ht="13.8" hidden="false" customHeight="false" outlineLevel="0" collapsed="false">
      <c r="B11" s="86" t="s">
        <v>233</v>
      </c>
    </row>
    <row r="12" customFormat="false" ht="13.8" hidden="false" customHeight="false" outlineLevel="0" collapsed="false">
      <c r="B12" s="1" t="s">
        <v>234</v>
      </c>
      <c r="C12" s="1" t="s">
        <v>90</v>
      </c>
      <c r="D12" s="89" t="n">
        <v>90</v>
      </c>
      <c r="E12" s="1" t="s">
        <v>235</v>
      </c>
    </row>
    <row r="13" customFormat="false" ht="13.8" hidden="false" customHeight="false" outlineLevel="0" collapsed="false">
      <c r="B13" s="1" t="s">
        <v>236</v>
      </c>
      <c r="C13" s="1" t="s">
        <v>237</v>
      </c>
      <c r="D13" s="90" t="n">
        <v>0.0005</v>
      </c>
      <c r="E13" s="1" t="s">
        <v>238</v>
      </c>
    </row>
    <row r="14" customFormat="false" ht="13.8" hidden="false" customHeight="false" outlineLevel="0" collapsed="false">
      <c r="B14" s="1" t="s">
        <v>236</v>
      </c>
      <c r="C14" s="1" t="s">
        <v>90</v>
      </c>
      <c r="D14" s="91" t="n">
        <f aca="false">D12*D13</f>
        <v>0.045</v>
      </c>
      <c r="E14" s="1" t="s">
        <v>239</v>
      </c>
    </row>
    <row r="15" customFormat="false" ht="13.8" hidden="false" customHeight="false" outlineLevel="0" collapsed="false">
      <c r="B15" s="1" t="s">
        <v>240</v>
      </c>
      <c r="C15" s="1" t="s">
        <v>106</v>
      </c>
      <c r="D15" s="92" t="n">
        <v>0.25</v>
      </c>
      <c r="E15" s="1" t="s">
        <v>241</v>
      </c>
    </row>
    <row r="16" customFormat="false" ht="13.8" hidden="false" customHeight="false" outlineLevel="0" collapsed="false">
      <c r="B16" s="1" t="s">
        <v>242</v>
      </c>
      <c r="C16" s="1" t="s">
        <v>114</v>
      </c>
      <c r="D16" s="89" t="n">
        <v>6</v>
      </c>
      <c r="E16" s="1" t="s">
        <v>241</v>
      </c>
    </row>
    <row r="17" customFormat="false" ht="13.8" hidden="false" customHeight="false" outlineLevel="0" collapsed="false">
      <c r="B17" s="1" t="s">
        <v>243</v>
      </c>
      <c r="C17" s="1" t="s">
        <v>244</v>
      </c>
      <c r="D17" s="89" t="n">
        <v>1</v>
      </c>
      <c r="E17" s="1" t="s">
        <v>245</v>
      </c>
    </row>
    <row r="18" customFormat="false" ht="13.8" hidden="false" customHeight="false" outlineLevel="0" collapsed="false">
      <c r="B18" s="1" t="s">
        <v>246</v>
      </c>
      <c r="C18" s="1" t="s">
        <v>244</v>
      </c>
      <c r="D18" s="89" t="n">
        <v>5</v>
      </c>
      <c r="E18" s="1" t="s">
        <v>247</v>
      </c>
    </row>
    <row r="19" customFormat="false" ht="13.8" hidden="false" customHeight="false" outlineLevel="0" collapsed="false">
      <c r="B19" s="1" t="s">
        <v>248</v>
      </c>
      <c r="C19" s="1" t="s">
        <v>90</v>
      </c>
      <c r="D19" s="89" t="n">
        <v>59</v>
      </c>
      <c r="E19" s="1" t="s">
        <v>249</v>
      </c>
    </row>
    <row r="20" customFormat="false" ht="13.8" hidden="false" customHeight="false" outlineLevel="0" collapsed="false">
      <c r="B20" s="1" t="s">
        <v>250</v>
      </c>
      <c r="C20" s="1" t="s">
        <v>90</v>
      </c>
      <c r="D20" s="89" t="n">
        <v>149</v>
      </c>
    </row>
    <row r="21" customFormat="false" ht="13.8" hidden="false" customHeight="false" outlineLevel="0" collapsed="false">
      <c r="B21" s="1" t="s">
        <v>251</v>
      </c>
      <c r="C21" s="1" t="s">
        <v>90</v>
      </c>
      <c r="D21" s="89" t="n">
        <v>249</v>
      </c>
    </row>
    <row r="22" customFormat="false" ht="13.8" hidden="false" customHeight="false" outlineLevel="0" collapsed="false">
      <c r="B22" s="1" t="s">
        <v>252</v>
      </c>
      <c r="C22" s="1" t="s">
        <v>106</v>
      </c>
      <c r="D22" s="92" t="n">
        <v>0.2</v>
      </c>
      <c r="E22" s="1" t="s">
        <v>253</v>
      </c>
    </row>
    <row r="23" customFormat="false" ht="13.8" hidden="false" customHeight="false" outlineLevel="0" collapsed="false">
      <c r="B23" s="1" t="s">
        <v>254</v>
      </c>
      <c r="C23" s="1" t="s">
        <v>106</v>
      </c>
      <c r="D23" s="92" t="n">
        <v>0.5</v>
      </c>
      <c r="E23" s="1" t="s">
        <v>253</v>
      </c>
    </row>
    <row r="24" customFormat="false" ht="13.8" hidden="false" customHeight="false" outlineLevel="0" collapsed="false">
      <c r="B24" s="1" t="s">
        <v>255</v>
      </c>
      <c r="C24" s="1" t="s">
        <v>106</v>
      </c>
      <c r="D24" s="92" t="n">
        <v>0.3</v>
      </c>
      <c r="E24" s="1" t="s">
        <v>256</v>
      </c>
    </row>
    <row r="25" customFormat="false" ht="13.8" hidden="false" customHeight="false" outlineLevel="0" collapsed="false">
      <c r="B25" s="1" t="s">
        <v>257</v>
      </c>
      <c r="C25" s="1" t="s">
        <v>90</v>
      </c>
      <c r="D25" s="91" t="n">
        <f aca="false">D19*D22+D20*D23+D21*D24</f>
        <v>161</v>
      </c>
      <c r="E25" s="1" t="s">
        <v>239</v>
      </c>
    </row>
    <row r="26" customFormat="false" ht="13.8" hidden="false" customHeight="false" outlineLevel="0" collapsed="false">
      <c r="B26" s="1" t="s">
        <v>258</v>
      </c>
      <c r="C26" s="1" t="s">
        <v>244</v>
      </c>
      <c r="D26" s="91" t="n">
        <f aca="false">5*D22+15*D23+30*D24</f>
        <v>17.5</v>
      </c>
      <c r="E26" s="1" t="s">
        <v>239</v>
      </c>
    </row>
    <row r="27" customFormat="false" ht="13.8" hidden="false" customHeight="false" outlineLevel="0" collapsed="false">
      <c r="B27" s="1" t="s">
        <v>259</v>
      </c>
      <c r="C27" s="1" t="s">
        <v>90</v>
      </c>
      <c r="D27" s="91" t="n">
        <f aca="false">D25/D26</f>
        <v>9.2</v>
      </c>
      <c r="E27" s="1" t="s">
        <v>239</v>
      </c>
    </row>
    <row r="28" customFormat="false" ht="13.8" hidden="false" customHeight="false" outlineLevel="0" collapsed="false">
      <c r="B28" s="1" t="s">
        <v>260</v>
      </c>
      <c r="C28" s="1" t="s">
        <v>106</v>
      </c>
      <c r="D28" s="92" t="n">
        <v>0.6</v>
      </c>
      <c r="E28" s="1" t="s">
        <v>261</v>
      </c>
    </row>
    <row r="29" customFormat="false" ht="13.8" hidden="false" customHeight="false" outlineLevel="0" collapsed="false">
      <c r="B29" s="1" t="s">
        <v>262</v>
      </c>
      <c r="C29" s="1" t="s">
        <v>114</v>
      </c>
      <c r="D29" s="89" t="n">
        <v>1</v>
      </c>
      <c r="E29" s="1" t="s">
        <v>253</v>
      </c>
    </row>
    <row r="30" customFormat="false" ht="13.8" hidden="false" customHeight="false" outlineLevel="0" collapsed="false">
      <c r="B30" s="1" t="s">
        <v>263</v>
      </c>
      <c r="C30" s="1" t="s">
        <v>90</v>
      </c>
      <c r="D30" s="91" t="n">
        <f aca="false">D28*D29*D25</f>
        <v>96.6</v>
      </c>
      <c r="E30" s="1" t="s">
        <v>264</v>
      </c>
    </row>
    <row r="31" customFormat="false" ht="13.8" hidden="false" customHeight="false" outlineLevel="0" collapsed="false">
      <c r="B31" s="1" t="s">
        <v>265</v>
      </c>
      <c r="D31" s="1" t="str">
        <f aca="false">IF(ABS(D22+D23+D24-1)&lt;0.0001,"OK","ОШИБКА")</f>
        <v>OK</v>
      </c>
    </row>
    <row r="32" customFormat="false" ht="13.8" hidden="false" customHeight="false" outlineLevel="0" collapsed="false">
      <c r="B32" s="1" t="s">
        <v>266</v>
      </c>
      <c r="C32" s="1" t="s">
        <v>244</v>
      </c>
      <c r="D32" s="93" t="n">
        <f aca="false">D16*Дней_в_месяце*D17</f>
        <v>180</v>
      </c>
    </row>
    <row r="34" customFormat="false" ht="13.8" hidden="false" customHeight="false" outlineLevel="0" collapsed="false">
      <c r="B34" s="86" t="s">
        <v>267</v>
      </c>
    </row>
    <row r="35" customFormat="false" ht="13.8" hidden="false" customHeight="false" outlineLevel="0" collapsed="false">
      <c r="B35" s="1" t="s">
        <v>59</v>
      </c>
      <c r="C35" s="1" t="s">
        <v>87</v>
      </c>
      <c r="H35" s="94" t="n">
        <f aca="false">Выручка!H13</f>
        <v>0</v>
      </c>
      <c r="I35" s="94" t="n">
        <f aca="false">Выручка!I13</f>
        <v>0</v>
      </c>
      <c r="J35" s="94" t="n">
        <f aca="false">Выручка!J13</f>
        <v>0</v>
      </c>
      <c r="K35" s="94" t="n">
        <f aca="false">Выручка!K13</f>
        <v>0</v>
      </c>
      <c r="L35" s="94" t="n">
        <f aca="false">Выручка!L13</f>
        <v>1500</v>
      </c>
      <c r="M35" s="94" t="n">
        <f aca="false">Выручка!M13</f>
        <v>3000</v>
      </c>
      <c r="N35" s="94" t="n">
        <f aca="false">Выручка!N13</f>
        <v>5000</v>
      </c>
      <c r="O35" s="94" t="n">
        <f aca="false">Выручка!O13</f>
        <v>7000</v>
      </c>
      <c r="P35" s="94" t="n">
        <f aca="false">Выручка!P13</f>
        <v>9000</v>
      </c>
      <c r="Q35" s="94" t="n">
        <f aca="false">Выручка!Q13</f>
        <v>12000</v>
      </c>
      <c r="R35" s="94" t="n">
        <f aca="false">Выручка!R13</f>
        <v>16000</v>
      </c>
      <c r="S35" s="94" t="n">
        <f aca="false">Выручка!S13</f>
        <v>20000</v>
      </c>
    </row>
    <row r="36" customFormat="false" ht="13.8" hidden="false" customHeight="false" outlineLevel="0" collapsed="false">
      <c r="B36" s="1" t="s">
        <v>268</v>
      </c>
      <c r="C36" s="1" t="s">
        <v>87</v>
      </c>
      <c r="H36" s="94" t="n">
        <f aca="false">Выручка!H14</f>
        <v>0</v>
      </c>
      <c r="I36" s="94" t="n">
        <f aca="false">Выручка!I14</f>
        <v>0</v>
      </c>
      <c r="J36" s="94" t="n">
        <f aca="false">Выручка!J14</f>
        <v>0</v>
      </c>
      <c r="K36" s="94" t="n">
        <f aca="false">Выручка!K14</f>
        <v>0</v>
      </c>
      <c r="L36" s="94" t="n">
        <f aca="false">Выручка!L14</f>
        <v>450</v>
      </c>
      <c r="M36" s="94" t="n">
        <f aca="false">Выручка!M14</f>
        <v>900</v>
      </c>
      <c r="N36" s="94" t="n">
        <f aca="false">Выручка!N14</f>
        <v>1500</v>
      </c>
      <c r="O36" s="94" t="n">
        <f aca="false">Выручка!O14</f>
        <v>2100</v>
      </c>
      <c r="P36" s="94" t="n">
        <f aca="false">Выручка!P14</f>
        <v>2700</v>
      </c>
      <c r="Q36" s="94" t="n">
        <f aca="false">Выручка!Q14</f>
        <v>3600</v>
      </c>
      <c r="R36" s="94" t="n">
        <f aca="false">Выручка!R14</f>
        <v>4800</v>
      </c>
      <c r="S36" s="94" t="n">
        <f aca="false">Выручка!S14</f>
        <v>6000</v>
      </c>
    </row>
    <row r="37" customFormat="false" ht="13.8" hidden="false" customHeight="false" outlineLevel="0" collapsed="false">
      <c r="B37" s="1" t="s">
        <v>269</v>
      </c>
      <c r="C37" s="1" t="s">
        <v>87</v>
      </c>
      <c r="H37" s="93" t="n">
        <f aca="false">H36*$D$15</f>
        <v>0</v>
      </c>
      <c r="I37" s="93" t="n">
        <f aca="false">I36*$D$15</f>
        <v>0</v>
      </c>
      <c r="J37" s="93" t="n">
        <f aca="false">J36*$D$15</f>
        <v>0</v>
      </c>
      <c r="K37" s="93" t="n">
        <f aca="false">K36*$D$15</f>
        <v>0</v>
      </c>
      <c r="L37" s="93" t="n">
        <f aca="false">L36*$D$15</f>
        <v>112.5</v>
      </c>
      <c r="M37" s="93" t="n">
        <f aca="false">M36*$D$15</f>
        <v>225</v>
      </c>
      <c r="N37" s="93" t="n">
        <f aca="false">N36*$D$15</f>
        <v>375</v>
      </c>
      <c r="O37" s="93" t="n">
        <f aca="false">O36*$D$15</f>
        <v>525</v>
      </c>
      <c r="P37" s="93" t="n">
        <f aca="false">P36*$D$15</f>
        <v>675</v>
      </c>
      <c r="Q37" s="93" t="n">
        <f aca="false">Q36*$D$15</f>
        <v>900</v>
      </c>
      <c r="R37" s="93" t="n">
        <f aca="false">R36*$D$15</f>
        <v>1200</v>
      </c>
      <c r="S37" s="93" t="n">
        <f aca="false">S36*$D$15</f>
        <v>1500</v>
      </c>
    </row>
    <row r="38" customFormat="false" ht="13.8" hidden="false" customHeight="false" outlineLevel="0" collapsed="false">
      <c r="B38" s="1" t="s">
        <v>270</v>
      </c>
      <c r="C38" s="1" t="s">
        <v>114</v>
      </c>
      <c r="D38" s="93" t="n">
        <f aca="false">SUMIF($H$8:$S$8,"Разработка",$H38:$S38)</f>
        <v>0</v>
      </c>
      <c r="E38" s="93" t="n">
        <f aca="false">SUMIF($H$8:$S$8,"Операционка",$H38:$S38)</f>
        <v>992250</v>
      </c>
      <c r="F38" s="93" t="n">
        <f aca="false">SUM($H38:$S38)</f>
        <v>992250</v>
      </c>
      <c r="H38" s="93" t="n">
        <f aca="false">H37*$D$16*Дней_в_месяце</f>
        <v>0</v>
      </c>
      <c r="I38" s="93" t="n">
        <f aca="false">I37*$D$16*Дней_в_месяце</f>
        <v>0</v>
      </c>
      <c r="J38" s="93" t="n">
        <f aca="false">J37*$D$16*Дней_в_месяце</f>
        <v>0</v>
      </c>
      <c r="K38" s="93" t="n">
        <f aca="false">K37*$D$16*Дней_в_месяце</f>
        <v>0</v>
      </c>
      <c r="L38" s="93" t="n">
        <f aca="false">L37*$D$16*Дней_в_месяце</f>
        <v>20250</v>
      </c>
      <c r="M38" s="93" t="n">
        <f aca="false">M37*$D$16*Дней_в_месяце</f>
        <v>40500</v>
      </c>
      <c r="N38" s="93" t="n">
        <f aca="false">N37*$D$16*Дней_в_месяце</f>
        <v>67500</v>
      </c>
      <c r="O38" s="93" t="n">
        <f aca="false">O37*$D$16*Дней_в_месяце</f>
        <v>94500</v>
      </c>
      <c r="P38" s="93" t="n">
        <f aca="false">P37*$D$16*Дней_в_месяце</f>
        <v>121500</v>
      </c>
      <c r="Q38" s="93" t="n">
        <f aca="false">Q37*$D$16*Дней_в_месяце</f>
        <v>162000</v>
      </c>
      <c r="R38" s="93" t="n">
        <f aca="false">R37*$D$16*Дней_в_месяце</f>
        <v>216000</v>
      </c>
      <c r="S38" s="93" t="n">
        <f aca="false">S37*$D$16*Дней_в_месяце</f>
        <v>270000</v>
      </c>
    </row>
    <row r="39" customFormat="false" ht="13.8" hidden="false" customHeight="false" outlineLevel="0" collapsed="false">
      <c r="B39" s="1" t="s">
        <v>271</v>
      </c>
      <c r="C39" s="1" t="s">
        <v>90</v>
      </c>
      <c r="D39" s="93" t="n">
        <f aca="false">SUMIF($H$8:$S$8,"Разработка",$H39:$S39)</f>
        <v>0</v>
      </c>
      <c r="E39" s="93" t="n">
        <f aca="false">SUMIF($H$8:$S$8,"Операционка",$H39:$S39)</f>
        <v>44651.25</v>
      </c>
      <c r="F39" s="93" t="n">
        <f aca="false">SUM($H39:$S39)</f>
        <v>44651.25</v>
      </c>
      <c r="H39" s="93" t="n">
        <f aca="false">H38*$D$14</f>
        <v>0</v>
      </c>
      <c r="I39" s="93" t="n">
        <f aca="false">I38*$D$14</f>
        <v>0</v>
      </c>
      <c r="J39" s="93" t="n">
        <f aca="false">J38*$D$14</f>
        <v>0</v>
      </c>
      <c r="K39" s="93" t="n">
        <f aca="false">K38*$D$14</f>
        <v>0</v>
      </c>
      <c r="L39" s="93" t="n">
        <f aca="false">L38*$D$14</f>
        <v>911.25</v>
      </c>
      <c r="M39" s="93" t="n">
        <f aca="false">M38*$D$14</f>
        <v>1822.5</v>
      </c>
      <c r="N39" s="93" t="n">
        <f aca="false">N38*$D$14</f>
        <v>3037.5</v>
      </c>
      <c r="O39" s="93" t="n">
        <f aca="false">O38*$D$14</f>
        <v>4252.5</v>
      </c>
      <c r="P39" s="93" t="n">
        <f aca="false">P38*$D$14</f>
        <v>5467.5</v>
      </c>
      <c r="Q39" s="93" t="n">
        <f aca="false">Q38*$D$14</f>
        <v>7290</v>
      </c>
      <c r="R39" s="93" t="n">
        <f aca="false">R38*$D$14</f>
        <v>9720</v>
      </c>
      <c r="S39" s="93" t="n">
        <f aca="false">S38*$D$14</f>
        <v>12150</v>
      </c>
    </row>
    <row r="40" customFormat="false" ht="13.8" hidden="false" customHeight="false" outlineLevel="0" collapsed="false">
      <c r="B40" s="1" t="s">
        <v>272</v>
      </c>
      <c r="C40" s="1" t="s">
        <v>90</v>
      </c>
      <c r="H40" s="95" t="n">
        <f aca="false">IF(H35&gt;0,H39/H35,0)</f>
        <v>0</v>
      </c>
      <c r="I40" s="95" t="n">
        <f aca="false">IF(I35&gt;0,I39/I35,0)</f>
        <v>0</v>
      </c>
      <c r="J40" s="95" t="n">
        <f aca="false">IF(J35&gt;0,J39/J35,0)</f>
        <v>0</v>
      </c>
      <c r="K40" s="95" t="n">
        <f aca="false">IF(K35&gt;0,K39/K35,0)</f>
        <v>0</v>
      </c>
      <c r="L40" s="95" t="n">
        <f aca="false">IF(L35&gt;0,L39/L35,0)</f>
        <v>0.6075</v>
      </c>
      <c r="M40" s="95" t="n">
        <f aca="false">IF(M35&gt;0,M39/M35,0)</f>
        <v>0.6075</v>
      </c>
      <c r="N40" s="95" t="n">
        <f aca="false">IF(N35&gt;0,N39/N35,0)</f>
        <v>0.6075</v>
      </c>
      <c r="O40" s="95" t="n">
        <f aca="false">IF(O35&gt;0,O39/O35,0)</f>
        <v>0.6075</v>
      </c>
      <c r="P40" s="95" t="n">
        <f aca="false">IF(P35&gt;0,P39/P35,0)</f>
        <v>0.6075</v>
      </c>
      <c r="Q40" s="95" t="n">
        <f aca="false">IF(Q35&gt;0,Q39/Q35,0)</f>
        <v>0.6075</v>
      </c>
      <c r="R40" s="95" t="n">
        <f aca="false">IF(R35&gt;0,R39/R35,0)</f>
        <v>0.6075</v>
      </c>
      <c r="S40" s="95" t="n">
        <f aca="false">IF(S35&gt;0,S39/S35,0)</f>
        <v>0.6075</v>
      </c>
    </row>
    <row r="41" customFormat="false" ht="13.8" hidden="false" customHeight="false" outlineLevel="0" collapsed="false">
      <c r="B41" s="1" t="s">
        <v>273</v>
      </c>
      <c r="C41" s="1" t="s">
        <v>87</v>
      </c>
      <c r="H41" s="94" t="n">
        <f aca="false">Выручка!H29</f>
        <v>0</v>
      </c>
      <c r="I41" s="94" t="n">
        <f aca="false">Выручка!I29</f>
        <v>0</v>
      </c>
      <c r="J41" s="94" t="n">
        <f aca="false">Выручка!J29</f>
        <v>0</v>
      </c>
      <c r="K41" s="94" t="n">
        <f aca="false">Выручка!K29</f>
        <v>0</v>
      </c>
      <c r="L41" s="94" t="n">
        <f aca="false">Выручка!L29</f>
        <v>11</v>
      </c>
      <c r="M41" s="94" t="n">
        <f aca="false">Выручка!M29</f>
        <v>22</v>
      </c>
      <c r="N41" s="94" t="n">
        <f aca="false">Выручка!N29</f>
        <v>38</v>
      </c>
      <c r="O41" s="94" t="n">
        <f aca="false">Выручка!O29</f>
        <v>56</v>
      </c>
      <c r="P41" s="94" t="n">
        <f aca="false">Выручка!P29</f>
        <v>77</v>
      </c>
      <c r="Q41" s="94" t="n">
        <f aca="false">Выручка!Q29</f>
        <v>108</v>
      </c>
      <c r="R41" s="94" t="n">
        <f aca="false">Выручка!R29</f>
        <v>152</v>
      </c>
      <c r="S41" s="94" t="n">
        <f aca="false">Выручка!S29</f>
        <v>200</v>
      </c>
    </row>
    <row r="42" customFormat="false" ht="13.8" hidden="false" customHeight="false" outlineLevel="0" collapsed="false">
      <c r="B42" s="1" t="s">
        <v>274</v>
      </c>
      <c r="C42" s="1" t="s">
        <v>90</v>
      </c>
      <c r="D42" s="93" t="n">
        <f aca="false">SUMIF($H$8:$S$8,"Разработка",$H42:$S42)</f>
        <v>0</v>
      </c>
      <c r="E42" s="93" t="n">
        <f aca="false">SUMIF($H$8:$S$8,"Операционка",$H42:$S42)</f>
        <v>64142.4</v>
      </c>
      <c r="F42" s="93" t="n">
        <f aca="false">SUM($H42:$S42)</f>
        <v>64142.4</v>
      </c>
      <c r="H42" s="93" t="n">
        <f aca="false">H41*$D$30</f>
        <v>0</v>
      </c>
      <c r="I42" s="93" t="n">
        <f aca="false">I41*$D$30</f>
        <v>0</v>
      </c>
      <c r="J42" s="93" t="n">
        <f aca="false">J41*$D$30</f>
        <v>0</v>
      </c>
      <c r="K42" s="93" t="n">
        <f aca="false">K41*$D$30</f>
        <v>0</v>
      </c>
      <c r="L42" s="93" t="n">
        <f aca="false">L41*$D$30</f>
        <v>1062.6</v>
      </c>
      <c r="M42" s="93" t="n">
        <f aca="false">M41*$D$30</f>
        <v>2125.2</v>
      </c>
      <c r="N42" s="93" t="n">
        <f aca="false">N41*$D$30</f>
        <v>3670.8</v>
      </c>
      <c r="O42" s="93" t="n">
        <f aca="false">O41*$D$30</f>
        <v>5409.6</v>
      </c>
      <c r="P42" s="93" t="n">
        <f aca="false">P41*$D$30</f>
        <v>7438.2</v>
      </c>
      <c r="Q42" s="93" t="n">
        <f aca="false">Q41*$D$30</f>
        <v>10432.8</v>
      </c>
      <c r="R42" s="93" t="n">
        <f aca="false">R41*$D$30</f>
        <v>14683.2</v>
      </c>
      <c r="S42" s="93" t="n">
        <f aca="false">S41*$D$30</f>
        <v>19320</v>
      </c>
    </row>
    <row r="43" customFormat="false" ht="13.8" hidden="false" customHeight="false" outlineLevel="0" collapsed="false">
      <c r="B43" s="1" t="s">
        <v>275</v>
      </c>
      <c r="C43" s="1" t="s">
        <v>90</v>
      </c>
      <c r="D43" s="93" t="n">
        <f aca="false">SUMIF($H$8:$S$8,"Разработка",$H43:$S43)</f>
        <v>0</v>
      </c>
      <c r="E43" s="93" t="n">
        <f aca="false">SUMIF($H$8:$S$8,"Операционка",$H43:$S43)</f>
        <v>9621.36</v>
      </c>
      <c r="F43" s="93" t="n">
        <f aca="false">SUM($H43:$S43)</f>
        <v>9621.36</v>
      </c>
      <c r="H43" s="93" t="n">
        <f aca="false">H42*Комиссия_стора</f>
        <v>0</v>
      </c>
      <c r="I43" s="93" t="n">
        <f aca="false">I42*Комиссия_стора</f>
        <v>0</v>
      </c>
      <c r="J43" s="93" t="n">
        <f aca="false">J42*Комиссия_стора</f>
        <v>0</v>
      </c>
      <c r="K43" s="93" t="n">
        <f aca="false">K42*Комиссия_стора</f>
        <v>0</v>
      </c>
      <c r="L43" s="93" t="n">
        <f aca="false">L42*Комиссия_стора</f>
        <v>159.39</v>
      </c>
      <c r="M43" s="93" t="n">
        <f aca="false">M42*Комиссия_стора</f>
        <v>318.78</v>
      </c>
      <c r="N43" s="93" t="n">
        <f aca="false">N42*Комиссия_стора</f>
        <v>550.62</v>
      </c>
      <c r="O43" s="93" t="n">
        <f aca="false">O42*Комиссия_стора</f>
        <v>811.44</v>
      </c>
      <c r="P43" s="93" t="n">
        <f aca="false">P42*Комиссия_стора</f>
        <v>1115.73</v>
      </c>
      <c r="Q43" s="93" t="n">
        <f aca="false">Q42*Комиссия_стора</f>
        <v>1564.92</v>
      </c>
      <c r="R43" s="93" t="n">
        <f aca="false">R42*Комиссия_стора</f>
        <v>2202.48</v>
      </c>
      <c r="S43" s="93" t="n">
        <f aca="false">S42*Комиссия_стора</f>
        <v>2898</v>
      </c>
    </row>
    <row r="44" customFormat="false" ht="13.8" hidden="false" customHeight="false" outlineLevel="0" collapsed="false">
      <c r="B44" s="1" t="s">
        <v>276</v>
      </c>
      <c r="C44" s="1" t="s">
        <v>90</v>
      </c>
      <c r="D44" s="93" t="n">
        <f aca="false">SUMIF($H$8:$S$8,"Разработка",$H44:$S44)</f>
        <v>0</v>
      </c>
      <c r="E44" s="93" t="n">
        <f aca="false">SUMIF($H$8:$S$8,"Операционка",$H44:$S44)</f>
        <v>9869.79</v>
      </c>
      <c r="F44" s="93" t="n">
        <f aca="false">SUM($H44:$S44)</f>
        <v>9869.79</v>
      </c>
      <c r="H44" s="93" t="n">
        <f aca="false">H42-H43-H39</f>
        <v>0</v>
      </c>
      <c r="I44" s="93" t="n">
        <f aca="false">I42-I43-I39</f>
        <v>0</v>
      </c>
      <c r="J44" s="93" t="n">
        <f aca="false">J42-J43-J39</f>
        <v>0</v>
      </c>
      <c r="K44" s="93" t="n">
        <f aca="false">K42-K43-K39</f>
        <v>0</v>
      </c>
      <c r="L44" s="93" t="n">
        <f aca="false">L42-L43-L39</f>
        <v>-8.04000000000008</v>
      </c>
      <c r="M44" s="93" t="n">
        <f aca="false">M42-M43-M39</f>
        <v>-16.0800000000002</v>
      </c>
      <c r="N44" s="93" t="n">
        <f aca="false">N42-N43-N39</f>
        <v>82.6799999999998</v>
      </c>
      <c r="O44" s="93" t="n">
        <f aca="false">O42-O43-O39</f>
        <v>345.66</v>
      </c>
      <c r="P44" s="93" t="n">
        <f aca="false">P42-P43-P39</f>
        <v>854.969999999999</v>
      </c>
      <c r="Q44" s="93" t="n">
        <f aca="false">Q42-Q43-Q39</f>
        <v>1577.88</v>
      </c>
      <c r="R44" s="93" t="n">
        <f aca="false">R42-R43-R39</f>
        <v>2760.72</v>
      </c>
      <c r="S44" s="93" t="n">
        <f aca="false">S42-S43-S39</f>
        <v>4272</v>
      </c>
    </row>
    <row r="45" customFormat="false" ht="13.8" hidden="false" customHeight="false" outlineLevel="0" collapsed="false">
      <c r="B45" s="1" t="s">
        <v>277</v>
      </c>
      <c r="C45" s="1" t="s">
        <v>114</v>
      </c>
      <c r="D45" s="93" t="n">
        <f aca="false">SUMIF($H$8:$S$8,"Разработка",$H45:$S45)</f>
        <v>0</v>
      </c>
      <c r="E45" s="93" t="n">
        <f aca="false">SUMIF($H$8:$S$8,"Операционка",$H45:$S45)</f>
        <v>6972</v>
      </c>
      <c r="F45" s="93" t="n">
        <f aca="false">SUM($H45:$S45)</f>
        <v>6972</v>
      </c>
      <c r="H45" s="93" t="n">
        <f aca="false">IF($D$27&gt;0,H42/$D$27,0)</f>
        <v>0</v>
      </c>
      <c r="I45" s="93" t="n">
        <f aca="false">IF($D$27&gt;0,I42/$D$27,0)</f>
        <v>0</v>
      </c>
      <c r="J45" s="93" t="n">
        <f aca="false">IF($D$27&gt;0,J42/$D$27,0)</f>
        <v>0</v>
      </c>
      <c r="K45" s="93" t="n">
        <f aca="false">IF($D$27&gt;0,K42/$D$27,0)</f>
        <v>0</v>
      </c>
      <c r="L45" s="93" t="n">
        <f aca="false">IF($D$27&gt;0,L42/$D$27,0)</f>
        <v>115.5</v>
      </c>
      <c r="M45" s="93" t="n">
        <f aca="false">IF($D$27&gt;0,M42/$D$27,0)</f>
        <v>231</v>
      </c>
      <c r="N45" s="93" t="n">
        <f aca="false">IF($D$27&gt;0,N42/$D$27,0)</f>
        <v>399</v>
      </c>
      <c r="O45" s="93" t="n">
        <f aca="false">IF($D$27&gt;0,O42/$D$27,0)</f>
        <v>588</v>
      </c>
      <c r="P45" s="93" t="n">
        <f aca="false">IF($D$27&gt;0,P42/$D$27,0)</f>
        <v>808.5</v>
      </c>
      <c r="Q45" s="93" t="n">
        <f aca="false">IF($D$27&gt;0,Q42/$D$27,0)</f>
        <v>1134</v>
      </c>
      <c r="R45" s="93" t="n">
        <f aca="false">IF($D$27&gt;0,R42/$D$27,0)</f>
        <v>1596</v>
      </c>
      <c r="S45" s="93" t="n">
        <f aca="false">IF($D$27&gt;0,S42/$D$27,0)</f>
        <v>2100</v>
      </c>
    </row>
    <row r="46" customFormat="false" ht="13.8" hidden="false" customHeight="false" outlineLevel="0" collapsed="false">
      <c r="B46" s="1" t="s">
        <v>278</v>
      </c>
      <c r="C46" s="1" t="s">
        <v>114</v>
      </c>
      <c r="D46" s="93" t="n">
        <f aca="false">SUMIF($H$8:$S$8,"Разработка",$H46:$S46)</f>
        <v>0</v>
      </c>
      <c r="E46" s="93" t="n">
        <f aca="false">SUMIF($H$8:$S$8,"Операционка",$H46:$S46)</f>
        <v>992250</v>
      </c>
      <c r="F46" s="93" t="n">
        <f aca="false">SUM($H46:$S46)</f>
        <v>992250</v>
      </c>
      <c r="H46" s="93" t="n">
        <f aca="false">H38*$D$17</f>
        <v>0</v>
      </c>
      <c r="I46" s="93" t="n">
        <f aca="false">I38*$D$17</f>
        <v>0</v>
      </c>
      <c r="J46" s="93" t="n">
        <f aca="false">J38*$D$17</f>
        <v>0</v>
      </c>
      <c r="K46" s="93" t="n">
        <f aca="false">K38*$D$17</f>
        <v>0</v>
      </c>
      <c r="L46" s="93" t="n">
        <f aca="false">L38*$D$17</f>
        <v>20250</v>
      </c>
      <c r="M46" s="93" t="n">
        <f aca="false">M38*$D$17</f>
        <v>40500</v>
      </c>
      <c r="N46" s="93" t="n">
        <f aca="false">N38*$D$17</f>
        <v>67500</v>
      </c>
      <c r="O46" s="93" t="n">
        <f aca="false">O38*$D$17</f>
        <v>94500</v>
      </c>
      <c r="P46" s="93" t="n">
        <f aca="false">P38*$D$17</f>
        <v>121500</v>
      </c>
      <c r="Q46" s="93" t="n">
        <f aca="false">Q38*$D$17</f>
        <v>162000</v>
      </c>
      <c r="R46" s="93" t="n">
        <f aca="false">R38*$D$17</f>
        <v>216000</v>
      </c>
      <c r="S46" s="93" t="n">
        <f aca="false">S38*$D$17</f>
        <v>270000</v>
      </c>
    </row>
    <row r="47" customFormat="false" ht="13.8" hidden="false" customHeight="false" outlineLevel="0" collapsed="false">
      <c r="B47" s="1" t="s">
        <v>279</v>
      </c>
      <c r="C47" s="1" t="s">
        <v>280</v>
      </c>
      <c r="F47" s="96" t="n">
        <f aca="false">IFERROR((F42-F43)/F39,0)</f>
        <v>1.22104174015285</v>
      </c>
    </row>
    <row r="48" customFormat="false" ht="13.8" hidden="false" customHeight="false" outlineLevel="0" collapsed="false">
      <c r="B48" s="1" t="s">
        <v>281</v>
      </c>
      <c r="C48" s="1" t="s">
        <v>106</v>
      </c>
      <c r="D48" s="97" t="n">
        <f aca="false">IFERROR(D14/(D27*D17),0)</f>
        <v>0.00489130434782609</v>
      </c>
    </row>
    <row r="50" customFormat="false" ht="13.8" hidden="false" customHeight="false" outlineLevel="0" collapsed="false">
      <c r="B50" s="86" t="s">
        <v>282</v>
      </c>
    </row>
    <row r="51" customFormat="false" ht="13.8" hidden="false" customHeight="false" outlineLevel="0" collapsed="false">
      <c r="B51" s="1" t="str">
        <f aca="false">"Чат сам по себе окупается продажей энергии: покрытие "&amp;FIXED(F47,2)&amp;" раза. Себестоимость сообщения "&amp;FIXED(D14,3)&amp;" ₽ при цене энергии "&amp;FIXED(D27,1)&amp;" ₽."</f>
        <v>Чат сам по себе окупается продажей энергии: покрытие 1.22 раза. Себестоимость сообщения 0.045 ₽ при цене энергии 9.2 ₽.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B2:S2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7" ySplit="9" topLeftCell="H10" activePane="bottomRight" state="frozen"/>
      <selection pane="topLeft" activeCell="A1" activeCellId="0" sqref="A1"/>
      <selection pane="topRight" activeCell="H1" activeCellId="0" sqref="H1"/>
      <selection pane="bottomLeft" activeCell="A10" activeCellId="0" sqref="A10"/>
      <selection pane="bottomRight" activeCell="J23" activeCellId="0" sqref="J23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1" width="1.44"/>
    <col collapsed="false" customWidth="true" hidden="false" outlineLevel="0" max="2" min="2" style="1" width="46"/>
    <col collapsed="false" customWidth="true" hidden="false" outlineLevel="0" max="3" min="3" style="1" width="8"/>
    <col collapsed="false" customWidth="true" hidden="false" outlineLevel="0" max="6" min="4" style="1" width="13.44"/>
    <col collapsed="false" customWidth="true" hidden="false" outlineLevel="0" max="7" min="7" style="1" width="1.44"/>
    <col collapsed="false" customWidth="true" hidden="false" outlineLevel="0" max="19" min="8" style="1" width="11.44"/>
  </cols>
  <sheetData>
    <row r="2" customFormat="false" ht="24" hidden="false" customHeight="true" outlineLevel="0" collapsed="false">
      <c r="B2" s="16" t="s">
        <v>283</v>
      </c>
    </row>
    <row r="3" customFormat="false" ht="14.25" hidden="false" customHeight="false" outlineLevel="0" collapsed="false">
      <c r="B3" s="5" t="s">
        <v>284</v>
      </c>
    </row>
    <row r="5" customFormat="false" ht="30" hidden="false" customHeight="true" outlineLevel="0" collapsed="false">
      <c r="B5" s="62" t="s">
        <v>51</v>
      </c>
      <c r="C5" s="20" t="s">
        <v>128</v>
      </c>
      <c r="D5" s="55" t="str">
        <f aca="false">"Разработка"&amp;CHAR(10)&amp;"("&amp;Дев_мес&amp;" мес.)"</f>
        <v>Разработка
(4 мес.)</v>
      </c>
      <c r="E5" s="55" t="str">
        <f aca="false">"Операционка"&amp;CHAR(10)&amp;"("&amp;Опер_мес&amp;" мес.)"</f>
        <v>Операционка
(8 мес.)</v>
      </c>
      <c r="F5" s="55" t="str">
        <f aca="false">"Итого"&amp;CHAR(10)&amp;"12 мес."</f>
        <v>Итого
12 мес.</v>
      </c>
      <c r="G5" s="19"/>
      <c r="H5" s="20" t="str">
        <f aca="false">Выручка!H$5</f>
        <v>Сен 2026</v>
      </c>
      <c r="I5" s="20" t="str">
        <f aca="false">Выручка!I$5</f>
        <v>Окт 2026</v>
      </c>
      <c r="J5" s="20" t="str">
        <f aca="false">Выручка!J$5</f>
        <v>Ноя 2026</v>
      </c>
      <c r="K5" s="20" t="str">
        <f aca="false">Выручка!K$5</f>
        <v>Дек 2026</v>
      </c>
      <c r="L5" s="20" t="str">
        <f aca="false">Выручка!L$5</f>
        <v>Янв 2027</v>
      </c>
      <c r="M5" s="20" t="str">
        <f aca="false">Выручка!M$5</f>
        <v>Фев 2027</v>
      </c>
      <c r="N5" s="20" t="str">
        <f aca="false">Выручка!N$5</f>
        <v>Мар 2027</v>
      </c>
      <c r="O5" s="20" t="str">
        <f aca="false">Выручка!O$5</f>
        <v>Апр 2027</v>
      </c>
      <c r="P5" s="20" t="str">
        <f aca="false">Выручка!P$5</f>
        <v>Май 2027</v>
      </c>
      <c r="Q5" s="20" t="str">
        <f aca="false">Выручка!Q$5</f>
        <v>Июн 2027</v>
      </c>
      <c r="R5" s="20" t="str">
        <f aca="false">Выручка!R$5</f>
        <v>Июл 2027</v>
      </c>
      <c r="S5" s="20" t="str">
        <f aca="false">Выручка!S$5</f>
        <v>Авг 2027</v>
      </c>
    </row>
    <row r="6" customFormat="false" ht="14.25" hidden="false" customHeight="false" outlineLevel="0" collapsed="false">
      <c r="B6" s="44" t="s">
        <v>199</v>
      </c>
      <c r="H6" s="63" t="n">
        <f aca="false">Выручка!H$6</f>
        <v>1</v>
      </c>
      <c r="I6" s="63" t="n">
        <f aca="false">Выручка!I$6</f>
        <v>2</v>
      </c>
      <c r="J6" s="63" t="n">
        <f aca="false">Выручка!J$6</f>
        <v>3</v>
      </c>
      <c r="K6" s="63" t="n">
        <f aca="false">Выручка!K$6</f>
        <v>4</v>
      </c>
      <c r="L6" s="63" t="n">
        <f aca="false">Выручка!L$6</f>
        <v>5</v>
      </c>
      <c r="M6" s="63" t="n">
        <f aca="false">Выручка!M$6</f>
        <v>6</v>
      </c>
      <c r="N6" s="63" t="n">
        <f aca="false">Выручка!N$6</f>
        <v>7</v>
      </c>
      <c r="O6" s="63" t="n">
        <f aca="false">Выручка!O$6</f>
        <v>8</v>
      </c>
      <c r="P6" s="63" t="n">
        <f aca="false">Выручка!P$6</f>
        <v>9</v>
      </c>
      <c r="Q6" s="63" t="n">
        <f aca="false">Выручка!Q$6</f>
        <v>10</v>
      </c>
      <c r="R6" s="63" t="n">
        <f aca="false">Выручка!R$6</f>
        <v>11</v>
      </c>
      <c r="S6" s="63" t="n">
        <f aca="false">Выручка!S$6</f>
        <v>12</v>
      </c>
    </row>
    <row r="7" customFormat="false" ht="14.25" hidden="false" customHeight="false" outlineLevel="0" collapsed="false">
      <c r="B7" s="44" t="s">
        <v>200</v>
      </c>
      <c r="H7" s="64" t="n">
        <f aca="false">Выручка!H$7</f>
        <v>46266</v>
      </c>
      <c r="I7" s="64" t="n">
        <f aca="false">Выручка!I$7</f>
        <v>46296</v>
      </c>
      <c r="J7" s="64" t="n">
        <f aca="false">Выручка!J$7</f>
        <v>46327</v>
      </c>
      <c r="K7" s="64" t="n">
        <f aca="false">Выручка!K$7</f>
        <v>46357</v>
      </c>
      <c r="L7" s="64" t="n">
        <f aca="false">Выручка!L$7</f>
        <v>46388</v>
      </c>
      <c r="M7" s="64" t="n">
        <f aca="false">Выручка!M$7</f>
        <v>46419</v>
      </c>
      <c r="N7" s="64" t="n">
        <f aca="false">Выручка!N$7</f>
        <v>46447</v>
      </c>
      <c r="O7" s="64" t="n">
        <f aca="false">Выручка!O$7</f>
        <v>46478</v>
      </c>
      <c r="P7" s="64" t="n">
        <f aca="false">Выручка!P$7</f>
        <v>46508</v>
      </c>
      <c r="Q7" s="64" t="n">
        <f aca="false">Выручка!Q$7</f>
        <v>46539</v>
      </c>
      <c r="R7" s="64" t="n">
        <f aca="false">Выручка!R$7</f>
        <v>46569</v>
      </c>
      <c r="S7" s="64" t="n">
        <f aca="false">Выручка!S$7</f>
        <v>46600</v>
      </c>
    </row>
    <row r="8" customFormat="false" ht="14.25" hidden="false" customHeight="false" outlineLevel="0" collapsed="false">
      <c r="B8" s="44" t="s">
        <v>201</v>
      </c>
      <c r="H8" s="45" t="str">
        <f aca="false">Выручка!H$8</f>
        <v>Разработка</v>
      </c>
      <c r="I8" s="45" t="str">
        <f aca="false">Выручка!I$8</f>
        <v>Разработка</v>
      </c>
      <c r="J8" s="45" t="str">
        <f aca="false">Выручка!J$8</f>
        <v>Разработка</v>
      </c>
      <c r="K8" s="45" t="str">
        <f aca="false">Выручка!K$8</f>
        <v>Разработка</v>
      </c>
      <c r="L8" s="45" t="str">
        <f aca="false">Выручка!L$8</f>
        <v>Операционка</v>
      </c>
      <c r="M8" s="45" t="str">
        <f aca="false">Выручка!M$8</f>
        <v>Операционка</v>
      </c>
      <c r="N8" s="45" t="str">
        <f aca="false">Выручка!N$8</f>
        <v>Операционка</v>
      </c>
      <c r="O8" s="45" t="str">
        <f aca="false">Выручка!O$8</f>
        <v>Операционка</v>
      </c>
      <c r="P8" s="45" t="str">
        <f aca="false">Выручка!P$8</f>
        <v>Операционка</v>
      </c>
      <c r="Q8" s="45" t="str">
        <f aca="false">Выручка!Q$8</f>
        <v>Операционка</v>
      </c>
      <c r="R8" s="45" t="str">
        <f aca="false">Выручка!R$8</f>
        <v>Операционка</v>
      </c>
      <c r="S8" s="45" t="str">
        <f aca="false">Выручка!S$8</f>
        <v>Операционка</v>
      </c>
    </row>
    <row r="9" customFormat="false" ht="14.25" hidden="false" customHeight="false" outlineLevel="0" collapsed="false">
      <c r="B9" s="44" t="s">
        <v>202</v>
      </c>
      <c r="H9" s="63" t="n">
        <f aca="false">Выручка!H$9</f>
        <v>0</v>
      </c>
      <c r="I9" s="63" t="n">
        <f aca="false">Выручка!I$9</f>
        <v>0</v>
      </c>
      <c r="J9" s="63" t="n">
        <f aca="false">Выручка!J$9</f>
        <v>0</v>
      </c>
      <c r="K9" s="63" t="n">
        <f aca="false">Выручка!K$9</f>
        <v>0</v>
      </c>
      <c r="L9" s="63" t="n">
        <f aca="false">Выручка!L$9</f>
        <v>1</v>
      </c>
      <c r="M9" s="63" t="n">
        <f aca="false">Выручка!M$9</f>
        <v>2</v>
      </c>
      <c r="N9" s="63" t="n">
        <f aca="false">Выручка!N$9</f>
        <v>3</v>
      </c>
      <c r="O9" s="63" t="n">
        <f aca="false">Выручка!O$9</f>
        <v>4</v>
      </c>
      <c r="P9" s="63" t="n">
        <f aca="false">Выручка!P$9</f>
        <v>5</v>
      </c>
      <c r="Q9" s="63" t="n">
        <f aca="false">Выручка!Q$9</f>
        <v>6</v>
      </c>
      <c r="R9" s="63" t="n">
        <f aca="false">Выручка!R$9</f>
        <v>7</v>
      </c>
      <c r="S9" s="63" t="n">
        <f aca="false">Выручка!S$9</f>
        <v>8</v>
      </c>
    </row>
    <row r="11" customFormat="false" ht="16.5" hidden="false" customHeight="true" outlineLevel="0" collapsed="false">
      <c r="B11" s="6" t="s">
        <v>285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customFormat="false" ht="14.25" hidden="false" customHeight="false" outlineLevel="0" collapsed="false">
      <c r="B12" s="71" t="s">
        <v>286</v>
      </c>
      <c r="C12" s="27" t="s">
        <v>90</v>
      </c>
      <c r="D12" s="66" t="n">
        <f aca="false">SUMIF($H$8:$S$8,"Разработка",$H$12:$S$12)</f>
        <v>16000</v>
      </c>
      <c r="E12" s="66" t="n">
        <f aca="false">SUMIF($H$8:$S$8,"Операционка",$H$12:$S$12)</f>
        <v>76651.25</v>
      </c>
      <c r="F12" s="67" t="n">
        <f aca="false">SUM($H$12:$S$12)</f>
        <v>92651.25</v>
      </c>
      <c r="H12" s="66" t="n">
        <f aca="false">IF(H$6&gt;=Допущения!$C$50,IF(H$8="Разработка",Зп_дев,Зп_опер),0)+Энергия!H39</f>
        <v>4000</v>
      </c>
      <c r="I12" s="66" t="n">
        <f aca="false">IF(I$6&gt;=Допущения!$C$50,IF(I$8="Разработка",Зп_дев,Зп_опер),0)+Энергия!I39</f>
        <v>4000</v>
      </c>
      <c r="J12" s="66" t="n">
        <f aca="false">IF(J$6&gt;=Допущения!$C$50,IF(J$8="Разработка",Зп_дев,Зп_опер),0)+Энергия!J39</f>
        <v>4000</v>
      </c>
      <c r="K12" s="66" t="n">
        <f aca="false">IF(K$6&gt;=Допущения!$C$50,IF(K$8="Разработка",Зп_дев,Зп_опер),0)+Энергия!K39</f>
        <v>4000</v>
      </c>
      <c r="L12" s="66" t="n">
        <f aca="false">IF(L$6&gt;=Допущения!$C$50,IF(L$8="Разработка",Зп_дев,Зп_опер),0)+Энергия!L39</f>
        <v>4911.25</v>
      </c>
      <c r="M12" s="66" t="n">
        <f aca="false">IF(M$6&gt;=Допущения!$C$50,IF(M$8="Разработка",Зп_дев,Зп_опер),0)+Энергия!M39</f>
        <v>5822.5</v>
      </c>
      <c r="N12" s="66" t="n">
        <f aca="false">IF(N$6&gt;=Допущения!$C$50,IF(N$8="Разработка",Зп_дев,Зп_опер),0)+Энергия!N39</f>
        <v>7037.5</v>
      </c>
      <c r="O12" s="66" t="n">
        <f aca="false">IF(O$6&gt;=Допущения!$C$50,IF(O$8="Разработка",Зп_дев,Зп_опер),0)+Энергия!O39</f>
        <v>8252.5</v>
      </c>
      <c r="P12" s="66" t="n">
        <f aca="false">IF(P$6&gt;=Допущения!$C$50,IF(P$8="Разработка",Зп_дев,Зп_опер),0)+Энергия!P39</f>
        <v>9467.5</v>
      </c>
      <c r="Q12" s="66" t="n">
        <f aca="false">IF(Q$6&gt;=Допущения!$C$50,IF(Q$8="Разработка",Зп_дев,Зп_опер),0)+Энергия!Q39</f>
        <v>11290</v>
      </c>
      <c r="R12" s="66" t="n">
        <f aca="false">IF(R$6&gt;=Допущения!$C$50,IF(R$8="Разработка",Зп_дев,Зп_опер),0)+Энергия!R39</f>
        <v>13720</v>
      </c>
      <c r="S12" s="66" t="n">
        <f aca="false">IF(S$6&gt;=Допущения!$C$50,IF(S$8="Разработка",Зп_дев,Зп_опер),0)+Энергия!S39</f>
        <v>16150</v>
      </c>
    </row>
    <row r="13" customFormat="false" ht="14.25" hidden="false" customHeight="false" outlineLevel="0" collapsed="false">
      <c r="B13" s="71" t="s">
        <v>143</v>
      </c>
      <c r="C13" s="27" t="s">
        <v>90</v>
      </c>
      <c r="D13" s="66" t="n">
        <f aca="false">SUMIF($H$8:$S$8,"Разработка",$H$13:$S$13)</f>
        <v>6000</v>
      </c>
      <c r="E13" s="66" t="n">
        <f aca="false">SUMIF($H$8:$S$8,"Операционка",$H$13:$S$13)</f>
        <v>16000</v>
      </c>
      <c r="F13" s="67" t="n">
        <f aca="false">SUM($H$13:$S$13)</f>
        <v>22000</v>
      </c>
      <c r="H13" s="66" t="n">
        <f aca="false">IF(H$6&gt;=Допущения!$C$51,IF(H$8="Разработка",Серверы_дев,Серверы_опер),0)</f>
        <v>0</v>
      </c>
      <c r="I13" s="66" t="n">
        <f aca="false">IF(I$6&gt;=Допущения!$C$51,IF(I$8="Разработка",Серверы_дев,Серверы_опер),0)</f>
        <v>2000</v>
      </c>
      <c r="J13" s="66" t="n">
        <f aca="false">IF(J$6&gt;=Допущения!$C$51,IF(J$8="Разработка",Серверы_дев,Серверы_опер),0)</f>
        <v>2000</v>
      </c>
      <c r="K13" s="66" t="n">
        <f aca="false">IF(K$6&gt;=Допущения!$C$51,IF(K$8="Разработка",Серверы_дев,Серверы_опер),0)</f>
        <v>2000</v>
      </c>
      <c r="L13" s="66" t="n">
        <f aca="false">IF(L$6&gt;=Допущения!$C$51,IF(L$8="Разработка",Серверы_дев,Серверы_опер),0)</f>
        <v>2000</v>
      </c>
      <c r="M13" s="66" t="n">
        <f aca="false">IF(M$6&gt;=Допущения!$C$51,IF(M$8="Разработка",Серверы_дев,Серверы_опер),0)</f>
        <v>2000</v>
      </c>
      <c r="N13" s="66" t="n">
        <f aca="false">IF(N$6&gt;=Допущения!$C$51,IF(N$8="Разработка",Серверы_дев,Серверы_опер),0)</f>
        <v>2000</v>
      </c>
      <c r="O13" s="66" t="n">
        <f aca="false">IF(O$6&gt;=Допущения!$C$51,IF(O$8="Разработка",Серверы_дев,Серверы_опер),0)</f>
        <v>2000</v>
      </c>
      <c r="P13" s="66" t="n">
        <f aca="false">IF(P$6&gt;=Допущения!$C$51,IF(P$8="Разработка",Серверы_дев,Серверы_опер),0)</f>
        <v>2000</v>
      </c>
      <c r="Q13" s="66" t="n">
        <f aca="false">IF(Q$6&gt;=Допущения!$C$51,IF(Q$8="Разработка",Серверы_дев,Серверы_опер),0)</f>
        <v>2000</v>
      </c>
      <c r="R13" s="66" t="n">
        <f aca="false">IF(R$6&gt;=Допущения!$C$51,IF(R$8="Разработка",Серверы_дев,Серверы_опер),0)</f>
        <v>2000</v>
      </c>
      <c r="S13" s="66" t="n">
        <f aca="false">IF(S$6&gt;=Допущения!$C$51,IF(S$8="Разработка",Серверы_дев,Серверы_опер),0)</f>
        <v>2000</v>
      </c>
    </row>
    <row r="14" customFormat="false" ht="14.25" hidden="false" customHeight="false" outlineLevel="0" collapsed="false">
      <c r="B14" s="71" t="s">
        <v>144</v>
      </c>
      <c r="C14" s="27" t="s">
        <v>90</v>
      </c>
      <c r="D14" s="66" t="n">
        <f aca="false">SUMIF($H$8:$S$8,"Разработка",$H$14:$S$14)</f>
        <v>10000</v>
      </c>
      <c r="E14" s="66" t="n">
        <f aca="false">SUMIF($H$8:$S$8,"Операционка",$H$14:$S$14)</f>
        <v>80000</v>
      </c>
      <c r="F14" s="67" t="n">
        <f aca="false">SUM($H$14:$S$14)</f>
        <v>90000</v>
      </c>
      <c r="H14" s="66" t="n">
        <f aca="false">IF(H$6&gt;=Допущения!$C$52,IF(H$8="Разработка",Бух_дев,Бух_опер),0)</f>
        <v>0</v>
      </c>
      <c r="I14" s="66" t="n">
        <f aca="false">IF(I$6&gt;=Допущения!$C$52,IF(I$8="Разработка",Бух_дев,Бух_опер),0)</f>
        <v>0</v>
      </c>
      <c r="J14" s="66" t="n">
        <f aca="false">IF(J$6&gt;=Допущения!$C$52,IF(J$8="Разработка",Бух_дев,Бух_опер),0)</f>
        <v>0</v>
      </c>
      <c r="K14" s="66" t="n">
        <f aca="false">IF(K$6&gt;=Допущения!$C$52,IF(K$8="Разработка",Бух_дев,Бух_опер),0)</f>
        <v>10000</v>
      </c>
      <c r="L14" s="66" t="n">
        <f aca="false">IF(L$6&gt;=Допущения!$C$52,IF(L$8="Разработка",Бух_дев,Бух_опер),0)</f>
        <v>10000</v>
      </c>
      <c r="M14" s="66" t="n">
        <f aca="false">IF(M$6&gt;=Допущения!$C$52,IF(M$8="Разработка",Бух_дев,Бух_опер),0)</f>
        <v>10000</v>
      </c>
      <c r="N14" s="66" t="n">
        <f aca="false">IF(N$6&gt;=Допущения!$C$52,IF(N$8="Разработка",Бух_дев,Бух_опер),0)</f>
        <v>10000</v>
      </c>
      <c r="O14" s="66" t="n">
        <f aca="false">IF(O$6&gt;=Допущения!$C$52,IF(O$8="Разработка",Бух_дев,Бух_опер),0)</f>
        <v>10000</v>
      </c>
      <c r="P14" s="66" t="n">
        <f aca="false">IF(P$6&gt;=Допущения!$C$52,IF(P$8="Разработка",Бух_дев,Бух_опер),0)</f>
        <v>10000</v>
      </c>
      <c r="Q14" s="66" t="n">
        <f aca="false">IF(Q$6&gt;=Допущения!$C$52,IF(Q$8="Разработка",Бух_дев,Бух_опер),0)</f>
        <v>10000</v>
      </c>
      <c r="R14" s="66" t="n">
        <f aca="false">IF(R$6&gt;=Допущения!$C$52,IF(R$8="Разработка",Бух_дев,Бух_опер),0)</f>
        <v>10000</v>
      </c>
      <c r="S14" s="66" t="n">
        <f aca="false">IF(S$6&gt;=Допущения!$C$52,IF(S$8="Разработка",Бух_дев,Бух_опер),0)</f>
        <v>10000</v>
      </c>
    </row>
    <row r="15" customFormat="false" ht="14.25" hidden="false" customHeight="false" outlineLevel="0" collapsed="false">
      <c r="B15" s="71" t="s">
        <v>146</v>
      </c>
      <c r="C15" s="27" t="s">
        <v>90</v>
      </c>
      <c r="D15" s="66" t="n">
        <f aca="false">SUMIF($H$8:$S$8,"Разработка",$H$15:$S$15)</f>
        <v>20000</v>
      </c>
      <c r="E15" s="66" t="n">
        <f aca="false">SUMIF($H$8:$S$8,"Операционка",$H$15:$S$15)</f>
        <v>240000</v>
      </c>
      <c r="F15" s="67" t="n">
        <f aca="false">SUM($H$15:$S$15)</f>
        <v>260000</v>
      </c>
      <c r="H15" s="66" t="n">
        <f aca="false">IF(H$6&gt;=Допущения!$C$53,IF(H$8="Разработка",Маркетинг_дев,Сц_маркетинг),0)</f>
        <v>0</v>
      </c>
      <c r="I15" s="66" t="n">
        <f aca="false">IF(I$6&gt;=Допущения!$C$53,IF(I$8="Разработка",Маркетинг_дев,Сц_маркетинг),0)</f>
        <v>0</v>
      </c>
      <c r="J15" s="66" t="n">
        <f aca="false">IF(J$6&gt;=Допущения!$C$53,IF(J$8="Разработка",Маркетинг_дев,Сц_маркетинг),0)</f>
        <v>10000</v>
      </c>
      <c r="K15" s="66" t="n">
        <f aca="false">IF(K$6&gt;=Допущения!$C$53,IF(K$8="Разработка",Маркетинг_дев,Сц_маркетинг),0)</f>
        <v>10000</v>
      </c>
      <c r="L15" s="66" t="n">
        <f aca="false">IF(L$6&gt;=Допущения!$C$53,IF(L$8="Разработка",Маркетинг_дев,Сц_маркетинг),0)</f>
        <v>30000</v>
      </c>
      <c r="M15" s="66" t="n">
        <f aca="false">IF(M$6&gt;=Допущения!$C$53,IF(M$8="Разработка",Маркетинг_дев,Сц_маркетинг),0)</f>
        <v>30000</v>
      </c>
      <c r="N15" s="66" t="n">
        <f aca="false">IF(N$6&gt;=Допущения!$C$53,IF(N$8="Разработка",Маркетинг_дев,Сц_маркетинг),0)</f>
        <v>30000</v>
      </c>
      <c r="O15" s="66" t="n">
        <f aca="false">IF(O$6&gt;=Допущения!$C$53,IF(O$8="Разработка",Маркетинг_дев,Сц_маркетинг),0)</f>
        <v>30000</v>
      </c>
      <c r="P15" s="66" t="n">
        <f aca="false">IF(P$6&gt;=Допущения!$C$53,IF(P$8="Разработка",Маркетинг_дев,Сц_маркетинг),0)</f>
        <v>30000</v>
      </c>
      <c r="Q15" s="66" t="n">
        <f aca="false">IF(Q$6&gt;=Допущения!$C$53,IF(Q$8="Разработка",Маркетинг_дев,Сц_маркетинг),0)</f>
        <v>30000</v>
      </c>
      <c r="R15" s="66" t="n">
        <f aca="false">IF(R$6&gt;=Допущения!$C$53,IF(R$8="Разработка",Маркетинг_дев,Сц_маркетинг),0)</f>
        <v>30000</v>
      </c>
      <c r="S15" s="66" t="n">
        <f aca="false">IF(S$6&gt;=Допущения!$C$53,IF(S$8="Разработка",Маркетинг_дев,Сц_маркетинг),0)</f>
        <v>30000</v>
      </c>
    </row>
    <row r="16" customFormat="false" ht="14.25" hidden="false" customHeight="false" outlineLevel="0" collapsed="false">
      <c r="B16" s="76" t="s">
        <v>287</v>
      </c>
      <c r="C16" s="77" t="s">
        <v>90</v>
      </c>
      <c r="D16" s="78" t="n">
        <f aca="false">SUMIF($H$8:$S$8,"Разработка",$H$16:$S$16)</f>
        <v>52000</v>
      </c>
      <c r="E16" s="78" t="n">
        <f aca="false">SUMIF($H$8:$S$8,"Операционка",$H$16:$S$16)</f>
        <v>412651.25</v>
      </c>
      <c r="F16" s="78" t="n">
        <f aca="false">SUM($H$16:$S$16)</f>
        <v>464651.25</v>
      </c>
      <c r="G16" s="79"/>
      <c r="H16" s="78" t="n">
        <f aca="false">SUM(H12:H15)</f>
        <v>4000</v>
      </c>
      <c r="I16" s="78" t="n">
        <f aca="false">SUM(I12:I15)</f>
        <v>6000</v>
      </c>
      <c r="J16" s="78" t="n">
        <f aca="false">SUM(J12:J15)</f>
        <v>16000</v>
      </c>
      <c r="K16" s="78" t="n">
        <f aca="false">SUM(K12:K15)</f>
        <v>26000</v>
      </c>
      <c r="L16" s="78" t="n">
        <f aca="false">SUM(L12:L15)</f>
        <v>46911.25</v>
      </c>
      <c r="M16" s="78" t="n">
        <f aca="false">SUM(M12:M15)</f>
        <v>47822.5</v>
      </c>
      <c r="N16" s="78" t="n">
        <f aca="false">SUM(N12:N15)</f>
        <v>49037.5</v>
      </c>
      <c r="O16" s="78" t="n">
        <f aca="false">SUM(O12:O15)</f>
        <v>50252.5</v>
      </c>
      <c r="P16" s="78" t="n">
        <f aca="false">SUM(P12:P15)</f>
        <v>51467.5</v>
      </c>
      <c r="Q16" s="78" t="n">
        <f aca="false">SUM(Q12:Q15)</f>
        <v>53290</v>
      </c>
      <c r="R16" s="78" t="n">
        <f aca="false">SUM(R12:R15)</f>
        <v>55720</v>
      </c>
      <c r="S16" s="78" t="n">
        <f aca="false">SUM(S12:S15)</f>
        <v>58150</v>
      </c>
    </row>
    <row r="18" customFormat="false" ht="16.5" hidden="false" customHeight="true" outlineLevel="0" collapsed="false">
      <c r="B18" s="6" t="s">
        <v>288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customFormat="false" ht="14.25" hidden="false" customHeight="false" outlineLevel="0" collapsed="false">
      <c r="B19" s="71" t="s">
        <v>289</v>
      </c>
      <c r="C19" s="27" t="s">
        <v>90</v>
      </c>
      <c r="D19" s="66" t="n">
        <f aca="false">SUMIF($H$8:$S$8,"Разработка",$H$19:$S$19)</f>
        <v>0</v>
      </c>
      <c r="E19" s="66" t="n">
        <f aca="false">SUMIF($H$8:$S$8,"Операционка",$H$19:$S$19)</f>
        <v>37229.76</v>
      </c>
      <c r="F19" s="67" t="n">
        <f aca="false">SUM($H$19:$S$19)</f>
        <v>37229.76</v>
      </c>
      <c r="H19" s="66" t="n">
        <f aca="false">Выручка!H31*Комиссия_стора</f>
        <v>0</v>
      </c>
      <c r="I19" s="66" t="n">
        <f aca="false">Выручка!I31*Комиссия_стора</f>
        <v>0</v>
      </c>
      <c r="J19" s="66" t="n">
        <f aca="false">Выручка!J31*Комиссия_стора</f>
        <v>0</v>
      </c>
      <c r="K19" s="66" t="n">
        <f aca="false">Выручка!K31*Комиссия_стора</f>
        <v>0</v>
      </c>
      <c r="L19" s="66" t="n">
        <f aca="false">Выручка!L31*Комиссия_стора</f>
        <v>487.74</v>
      </c>
      <c r="M19" s="66" t="n">
        <f aca="false">Выручка!M31*Комиссия_стора</f>
        <v>1074.48</v>
      </c>
      <c r="N19" s="66" t="n">
        <f aca="false">Выручка!N31*Комиссия_стора</f>
        <v>1912.92</v>
      </c>
      <c r="O19" s="66" t="n">
        <f aca="false">Выручка!O31*Комиссия_стора</f>
        <v>2903.04</v>
      </c>
      <c r="P19" s="66" t="n">
        <f aca="false">Выручка!P31*Комиссия_стора</f>
        <v>4107.18</v>
      </c>
      <c r="Q19" s="66" t="n">
        <f aca="false">Выручка!Q31*Комиссия_стора</f>
        <v>6084.72</v>
      </c>
      <c r="R19" s="66" t="n">
        <f aca="false">Выручка!R31*Комиссия_стора</f>
        <v>8791.68</v>
      </c>
      <c r="S19" s="66" t="n">
        <f aca="false">Выручка!S31*Комиссия_стора</f>
        <v>11868</v>
      </c>
    </row>
    <row r="20" customFormat="false" ht="14.25" hidden="false" customHeight="false" outlineLevel="0" collapsed="false">
      <c r="B20" s="15" t="s">
        <v>290</v>
      </c>
    </row>
    <row r="22" customFormat="false" ht="16.5" hidden="false" customHeight="true" outlineLevel="0" collapsed="false">
      <c r="B22" s="6" t="s">
        <v>291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customFormat="false" ht="14.25" hidden="false" customHeight="false" outlineLevel="0" collapsed="false">
      <c r="B23" s="65" t="s">
        <v>292</v>
      </c>
      <c r="C23" s="27" t="s">
        <v>106</v>
      </c>
      <c r="D23" s="72" t="n">
        <f aca="false">IF(D16&lt;&gt;0,D15/D16,0)</f>
        <v>0.384615384615385</v>
      </c>
      <c r="E23" s="72" t="n">
        <f aca="false">IF(E16&lt;&gt;0,E15/E16,0)</f>
        <v>0.5816049266784</v>
      </c>
      <c r="F23" s="73" t="n">
        <f aca="false">IF(F16&lt;&gt;0,F15/F16,0)</f>
        <v>0.559559454537139</v>
      </c>
      <c r="H23" s="72" t="n">
        <f aca="false">IF(H16&gt;0,H15/H16,0)</f>
        <v>0</v>
      </c>
      <c r="I23" s="72" t="n">
        <f aca="false">IF(I16&gt;0,I15/I16,0)</f>
        <v>0</v>
      </c>
      <c r="J23" s="72" t="n">
        <f aca="false">IF(J16&gt;0,J15/J16,0)</f>
        <v>0.625</v>
      </c>
      <c r="K23" s="72" t="n">
        <f aca="false">IF(K16&gt;0,K15/K16,0)</f>
        <v>0.384615384615385</v>
      </c>
      <c r="L23" s="72" t="n">
        <f aca="false">IF(L16&gt;0,L15/L16,0)</f>
        <v>0.639505449119348</v>
      </c>
      <c r="M23" s="72" t="n">
        <f aca="false">IF(M16&gt;0,M15/M16,0)</f>
        <v>0.627319776255947</v>
      </c>
      <c r="N23" s="72" t="n">
        <f aca="false">IF(N16&gt;0,N15/N16,0)</f>
        <v>0.611776701503951</v>
      </c>
      <c r="O23" s="72" t="n">
        <f aca="false">IF(O16&gt;0,O15/O16,0)</f>
        <v>0.596985224615691</v>
      </c>
      <c r="P23" s="72" t="n">
        <f aca="false">IF(P16&gt;0,P15/P16,0)</f>
        <v>0.582892116384126</v>
      </c>
      <c r="Q23" s="72" t="n">
        <f aca="false">IF(Q16&gt;0,Q15/Q16,0)</f>
        <v>0.562957402889848</v>
      </c>
      <c r="R23" s="72" t="n">
        <f aca="false">IF(R16&gt;0,R15/R16,0)</f>
        <v>0.53840631730079</v>
      </c>
      <c r="S23" s="72" t="n">
        <f aca="false">IF(S16&gt;0,S15/S16,0)</f>
        <v>0.515907136715391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B2:S42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7" ySplit="9" topLeftCell="K10" activePane="bottomRight" state="frozen"/>
      <selection pane="topLeft" activeCell="A1" activeCellId="0" sqref="A1"/>
      <selection pane="topRight" activeCell="K1" activeCellId="0" sqref="K1"/>
      <selection pane="bottomLeft" activeCell="A10" activeCellId="0" sqref="A10"/>
      <selection pane="bottomRight" activeCell="B5" activeCellId="0" sqref="B5"/>
    </sheetView>
  </sheetViews>
  <sheetFormatPr defaultColWidth="8.5390625" defaultRowHeight="14.25" customHeight="true" zeroHeight="false" outlineLevelRow="1" outlineLevelCol="0"/>
  <cols>
    <col collapsed="false" customWidth="true" hidden="false" outlineLevel="0" max="1" min="1" style="1" width="1.44"/>
    <col collapsed="false" customWidth="true" hidden="false" outlineLevel="0" max="2" min="2" style="1" width="46"/>
    <col collapsed="false" customWidth="true" hidden="false" outlineLevel="0" max="3" min="3" style="1" width="8"/>
    <col collapsed="false" customWidth="true" hidden="false" outlineLevel="0" max="6" min="4" style="1" width="13.44"/>
    <col collapsed="false" customWidth="true" hidden="false" outlineLevel="0" max="7" min="7" style="1" width="1.44"/>
    <col collapsed="false" customWidth="true" hidden="false" outlineLevel="0" max="19" min="8" style="1" width="11.44"/>
  </cols>
  <sheetData>
    <row r="2" customFormat="false" ht="24" hidden="false" customHeight="true" outlineLevel="0" collapsed="false">
      <c r="B2" s="16" t="s">
        <v>293</v>
      </c>
    </row>
    <row r="3" customFormat="false" ht="14.25" hidden="false" customHeight="false" outlineLevel="0" collapsed="false">
      <c r="B3" s="5" t="s">
        <v>294</v>
      </c>
    </row>
    <row r="5" customFormat="false" ht="30" hidden="false" customHeight="true" outlineLevel="0" collapsed="false">
      <c r="B5" s="62" t="s">
        <v>51</v>
      </c>
      <c r="C5" s="20" t="s">
        <v>128</v>
      </c>
      <c r="D5" s="55" t="str">
        <f aca="false">"Разработка"&amp;CHAR(10)&amp;"("&amp;Дев_мес&amp;" мес.)"</f>
        <v>Разработка
(4 мес.)</v>
      </c>
      <c r="E5" s="55" t="str">
        <f aca="false">"Операционка"&amp;CHAR(10)&amp;"("&amp;Опер_мес&amp;" мес.)"</f>
        <v>Операционка
(8 мес.)</v>
      </c>
      <c r="F5" s="55" t="str">
        <f aca="false">"Итого"&amp;CHAR(10)&amp;"12 мес."</f>
        <v>Итого
12 мес.</v>
      </c>
      <c r="G5" s="19"/>
      <c r="H5" s="20" t="str">
        <f aca="false">Выручка!H$5</f>
        <v>Сен 2026</v>
      </c>
      <c r="I5" s="20" t="str">
        <f aca="false">Выручка!I$5</f>
        <v>Окт 2026</v>
      </c>
      <c r="J5" s="20" t="str">
        <f aca="false">Выручка!J$5</f>
        <v>Ноя 2026</v>
      </c>
      <c r="K5" s="20" t="str">
        <f aca="false">Выручка!K$5</f>
        <v>Дек 2026</v>
      </c>
      <c r="L5" s="20" t="str">
        <f aca="false">Выручка!L$5</f>
        <v>Янв 2027</v>
      </c>
      <c r="M5" s="20" t="str">
        <f aca="false">Выручка!M$5</f>
        <v>Фев 2027</v>
      </c>
      <c r="N5" s="20" t="str">
        <f aca="false">Выручка!N$5</f>
        <v>Мар 2027</v>
      </c>
      <c r="O5" s="20" t="str">
        <f aca="false">Выручка!O$5</f>
        <v>Апр 2027</v>
      </c>
      <c r="P5" s="20" t="str">
        <f aca="false">Выручка!P$5</f>
        <v>Май 2027</v>
      </c>
      <c r="Q5" s="20" t="str">
        <f aca="false">Выручка!Q$5</f>
        <v>Июн 2027</v>
      </c>
      <c r="R5" s="20" t="str">
        <f aca="false">Выручка!R$5</f>
        <v>Июл 2027</v>
      </c>
      <c r="S5" s="20" t="str">
        <f aca="false">Выручка!S$5</f>
        <v>Авг 2027</v>
      </c>
    </row>
    <row r="6" customFormat="false" ht="14.25" hidden="false" customHeight="false" outlineLevel="0" collapsed="false">
      <c r="B6" s="44" t="s">
        <v>199</v>
      </c>
      <c r="H6" s="63" t="n">
        <f aca="false">Выручка!H$6</f>
        <v>1</v>
      </c>
      <c r="I6" s="63" t="n">
        <f aca="false">Выручка!I$6</f>
        <v>2</v>
      </c>
      <c r="J6" s="63" t="n">
        <f aca="false">Выручка!J$6</f>
        <v>3</v>
      </c>
      <c r="K6" s="63" t="n">
        <f aca="false">Выручка!K$6</f>
        <v>4</v>
      </c>
      <c r="L6" s="63" t="n">
        <f aca="false">Выручка!L$6</f>
        <v>5</v>
      </c>
      <c r="M6" s="63" t="n">
        <f aca="false">Выручка!M$6</f>
        <v>6</v>
      </c>
      <c r="N6" s="63" t="n">
        <f aca="false">Выручка!N$6</f>
        <v>7</v>
      </c>
      <c r="O6" s="63" t="n">
        <f aca="false">Выручка!O$6</f>
        <v>8</v>
      </c>
      <c r="P6" s="63" t="n">
        <f aca="false">Выручка!P$6</f>
        <v>9</v>
      </c>
      <c r="Q6" s="63" t="n">
        <f aca="false">Выручка!Q$6</f>
        <v>10</v>
      </c>
      <c r="R6" s="63" t="n">
        <f aca="false">Выручка!R$6</f>
        <v>11</v>
      </c>
      <c r="S6" s="63" t="n">
        <f aca="false">Выручка!S$6</f>
        <v>12</v>
      </c>
    </row>
    <row r="7" customFormat="false" ht="14.25" hidden="false" customHeight="false" outlineLevel="0" collapsed="false">
      <c r="B7" s="44" t="s">
        <v>200</v>
      </c>
      <c r="H7" s="64" t="n">
        <f aca="false">Выручка!H$7</f>
        <v>46266</v>
      </c>
      <c r="I7" s="64" t="n">
        <f aca="false">Выручка!I$7</f>
        <v>46296</v>
      </c>
      <c r="J7" s="64" t="n">
        <f aca="false">Выручка!J$7</f>
        <v>46327</v>
      </c>
      <c r="K7" s="64" t="n">
        <f aca="false">Выручка!K$7</f>
        <v>46357</v>
      </c>
      <c r="L7" s="64" t="n">
        <f aca="false">Выручка!L$7</f>
        <v>46388</v>
      </c>
      <c r="M7" s="64" t="n">
        <f aca="false">Выручка!M$7</f>
        <v>46419</v>
      </c>
      <c r="N7" s="64" t="n">
        <f aca="false">Выручка!N$7</f>
        <v>46447</v>
      </c>
      <c r="O7" s="64" t="n">
        <f aca="false">Выручка!O$7</f>
        <v>46478</v>
      </c>
      <c r="P7" s="64" t="n">
        <f aca="false">Выручка!P$7</f>
        <v>46508</v>
      </c>
      <c r="Q7" s="64" t="n">
        <f aca="false">Выручка!Q$7</f>
        <v>46539</v>
      </c>
      <c r="R7" s="64" t="n">
        <f aca="false">Выручка!R$7</f>
        <v>46569</v>
      </c>
      <c r="S7" s="64" t="n">
        <f aca="false">Выручка!S$7</f>
        <v>46600</v>
      </c>
    </row>
    <row r="8" customFormat="false" ht="14.25" hidden="false" customHeight="false" outlineLevel="0" collapsed="false">
      <c r="B8" s="44" t="s">
        <v>201</v>
      </c>
      <c r="H8" s="45" t="str">
        <f aca="false">Выручка!H$8</f>
        <v>Разработка</v>
      </c>
      <c r="I8" s="45" t="str">
        <f aca="false">Выручка!I$8</f>
        <v>Разработка</v>
      </c>
      <c r="J8" s="45" t="str">
        <f aca="false">Выручка!J$8</f>
        <v>Разработка</v>
      </c>
      <c r="K8" s="45" t="str">
        <f aca="false">Выручка!K$8</f>
        <v>Разработка</v>
      </c>
      <c r="L8" s="45" t="str">
        <f aca="false">Выручка!L$8</f>
        <v>Операционка</v>
      </c>
      <c r="M8" s="45" t="str">
        <f aca="false">Выручка!M$8</f>
        <v>Операционка</v>
      </c>
      <c r="N8" s="45" t="str">
        <f aca="false">Выручка!N$8</f>
        <v>Операционка</v>
      </c>
      <c r="O8" s="45" t="str">
        <f aca="false">Выручка!O$8</f>
        <v>Операционка</v>
      </c>
      <c r="P8" s="45" t="str">
        <f aca="false">Выручка!P$8</f>
        <v>Операционка</v>
      </c>
      <c r="Q8" s="45" t="str">
        <f aca="false">Выручка!Q$8</f>
        <v>Операционка</v>
      </c>
      <c r="R8" s="45" t="str">
        <f aca="false">Выручка!R$8</f>
        <v>Операционка</v>
      </c>
      <c r="S8" s="45" t="str">
        <f aca="false">Выручка!S$8</f>
        <v>Операционка</v>
      </c>
    </row>
    <row r="9" customFormat="false" ht="14.25" hidden="false" customHeight="false" outlineLevel="0" collapsed="false">
      <c r="B9" s="44" t="s">
        <v>202</v>
      </c>
      <c r="H9" s="63" t="n">
        <f aca="false">Выручка!H$9</f>
        <v>0</v>
      </c>
      <c r="I9" s="63" t="n">
        <f aca="false">Выручка!I$9</f>
        <v>0</v>
      </c>
      <c r="J9" s="63" t="n">
        <f aca="false">Выручка!J$9</f>
        <v>0</v>
      </c>
      <c r="K9" s="63" t="n">
        <f aca="false">Выручка!K$9</f>
        <v>0</v>
      </c>
      <c r="L9" s="63" t="n">
        <f aca="false">Выручка!L$9</f>
        <v>1</v>
      </c>
      <c r="M9" s="63" t="n">
        <f aca="false">Выручка!M$9</f>
        <v>2</v>
      </c>
      <c r="N9" s="63" t="n">
        <f aca="false">Выручка!N$9</f>
        <v>3</v>
      </c>
      <c r="O9" s="63" t="n">
        <f aca="false">Выручка!O$9</f>
        <v>4</v>
      </c>
      <c r="P9" s="63" t="n">
        <f aca="false">Выручка!P$9</f>
        <v>5</v>
      </c>
      <c r="Q9" s="63" t="n">
        <f aca="false">Выручка!Q$9</f>
        <v>6</v>
      </c>
      <c r="R9" s="63" t="n">
        <f aca="false">Выручка!R$9</f>
        <v>7</v>
      </c>
      <c r="S9" s="63" t="n">
        <f aca="false">Выручка!S$9</f>
        <v>8</v>
      </c>
    </row>
    <row r="11" customFormat="false" ht="16.5" hidden="false" customHeight="true" outlineLevel="0" collapsed="false">
      <c r="B11" s="6" t="s">
        <v>295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customFormat="false" ht="14.25" hidden="false" customHeight="false" outlineLevel="0" collapsed="false">
      <c r="B12" s="71" t="s">
        <v>52</v>
      </c>
      <c r="C12" s="27" t="s">
        <v>90</v>
      </c>
      <c r="D12" s="66" t="n">
        <f aca="false">SUMIF($H$8:$S$8,"Разработка",$H$12:$S$12)</f>
        <v>0</v>
      </c>
      <c r="E12" s="66" t="n">
        <f aca="false">SUMIF($H$8:$S$8,"Операционка",$H$12:$S$12)</f>
        <v>133953.75</v>
      </c>
      <c r="F12" s="67" t="n">
        <f aca="false">SUM($H$12:$S$12)</f>
        <v>133953.75</v>
      </c>
      <c r="H12" s="98" t="n">
        <f aca="false">Выручка!H19</f>
        <v>0</v>
      </c>
      <c r="I12" s="98" t="n">
        <f aca="false">Выручка!I19</f>
        <v>0</v>
      </c>
      <c r="J12" s="98" t="n">
        <f aca="false">Выручка!J19</f>
        <v>0</v>
      </c>
      <c r="K12" s="98" t="n">
        <f aca="false">Выручка!K19</f>
        <v>0</v>
      </c>
      <c r="L12" s="98" t="n">
        <f aca="false">Выручка!L19</f>
        <v>2733.75</v>
      </c>
      <c r="M12" s="98" t="n">
        <f aca="false">Выручка!M19</f>
        <v>5467.5</v>
      </c>
      <c r="N12" s="98" t="n">
        <f aca="false">Выручка!N19</f>
        <v>9112.5</v>
      </c>
      <c r="O12" s="98" t="n">
        <f aca="false">Выручка!O19</f>
        <v>12757.5</v>
      </c>
      <c r="P12" s="98" t="n">
        <f aca="false">Выручка!P19</f>
        <v>16402.5</v>
      </c>
      <c r="Q12" s="98" t="n">
        <f aca="false">Выручка!Q19</f>
        <v>21870</v>
      </c>
      <c r="R12" s="98" t="n">
        <f aca="false">Выручка!R19</f>
        <v>29160</v>
      </c>
      <c r="S12" s="98" t="n">
        <f aca="false">Выручка!S19</f>
        <v>36450</v>
      </c>
    </row>
    <row r="13" customFormat="false" ht="14.25" hidden="false" customHeight="false" outlineLevel="0" collapsed="false">
      <c r="B13" s="71" t="s">
        <v>53</v>
      </c>
      <c r="C13" s="27" t="s">
        <v>90</v>
      </c>
      <c r="D13" s="66" t="n">
        <f aca="false">SUMIF($H$8:$S$8,"Разработка",$H$13:$S$13)</f>
        <v>0</v>
      </c>
      <c r="E13" s="66" t="n">
        <f aca="false">SUMIF($H$8:$S$8,"Операционка",$H$13:$S$13)</f>
        <v>230364</v>
      </c>
      <c r="F13" s="67" t="n">
        <f aca="false">SUM($H$13:$S$13)</f>
        <v>230364</v>
      </c>
      <c r="H13" s="98" t="n">
        <f aca="false">Выручка!H25</f>
        <v>0</v>
      </c>
      <c r="I13" s="98" t="n">
        <f aca="false">Выручка!I25</f>
        <v>0</v>
      </c>
      <c r="J13" s="98" t="n">
        <f aca="false">Выручка!J25</f>
        <v>0</v>
      </c>
      <c r="K13" s="98" t="n">
        <f aca="false">Выручка!K25</f>
        <v>0</v>
      </c>
      <c r="L13" s="98" t="n">
        <f aca="false">Выручка!L25</f>
        <v>4320</v>
      </c>
      <c r="M13" s="98" t="n">
        <f aca="false">Выручка!M25</f>
        <v>8748</v>
      </c>
      <c r="N13" s="98" t="n">
        <f aca="false">Выручка!N25</f>
        <v>14940</v>
      </c>
      <c r="O13" s="98" t="n">
        <f aca="false">Выручка!O25</f>
        <v>21420</v>
      </c>
      <c r="P13" s="98" t="n">
        <f aca="false">Выручка!P25</f>
        <v>27864</v>
      </c>
      <c r="Q13" s="98" t="n">
        <f aca="false">Выручка!Q25</f>
        <v>37584</v>
      </c>
      <c r="R13" s="98" t="n">
        <f aca="false">Выручка!R25</f>
        <v>50688</v>
      </c>
      <c r="S13" s="98" t="n">
        <f aca="false">Выручка!S25</f>
        <v>64800</v>
      </c>
    </row>
    <row r="14" customFormat="false" ht="14.25" hidden="false" customHeight="false" outlineLevel="0" collapsed="false">
      <c r="B14" s="71" t="s">
        <v>216</v>
      </c>
      <c r="C14" s="27" t="s">
        <v>90</v>
      </c>
      <c r="D14" s="66" t="n">
        <f aca="false">SUMIF($H$8:$S$8,"Разработка",$H$14:$S$14)</f>
        <v>0</v>
      </c>
      <c r="E14" s="66" t="n">
        <f aca="false">SUMIF($H$8:$S$8,"Операционка",$H$14:$S$14)</f>
        <v>248198.4</v>
      </c>
      <c r="F14" s="67" t="n">
        <f aca="false">SUM($H$14:$S$14)</f>
        <v>248198.4</v>
      </c>
      <c r="H14" s="98" t="n">
        <f aca="false">Выручка!H31</f>
        <v>0</v>
      </c>
      <c r="I14" s="98" t="n">
        <f aca="false">Выручка!I31</f>
        <v>0</v>
      </c>
      <c r="J14" s="98" t="n">
        <f aca="false">Выручка!J31</f>
        <v>0</v>
      </c>
      <c r="K14" s="98" t="n">
        <f aca="false">Выручка!K31</f>
        <v>0</v>
      </c>
      <c r="L14" s="98" t="n">
        <f aca="false">Выручка!L31</f>
        <v>3251.6</v>
      </c>
      <c r="M14" s="98" t="n">
        <f aca="false">Выручка!M31</f>
        <v>7163.2</v>
      </c>
      <c r="N14" s="98" t="n">
        <f aca="false">Выручка!N31</f>
        <v>12752.8</v>
      </c>
      <c r="O14" s="98" t="n">
        <f aca="false">Выручка!O31</f>
        <v>19353.6</v>
      </c>
      <c r="P14" s="98" t="n">
        <f aca="false">Выручка!P31</f>
        <v>27381.2</v>
      </c>
      <c r="Q14" s="98" t="n">
        <f aca="false">Выручка!Q31</f>
        <v>40564.8</v>
      </c>
      <c r="R14" s="98" t="n">
        <f aca="false">Выручка!R31</f>
        <v>58611.2</v>
      </c>
      <c r="S14" s="98" t="n">
        <f aca="false">Выручка!S31</f>
        <v>79120</v>
      </c>
    </row>
    <row r="15" customFormat="false" ht="14.25" hidden="false" customHeight="false" outlineLevel="0" collapsed="false">
      <c r="B15" s="99" t="s">
        <v>296</v>
      </c>
      <c r="C15" s="100" t="s">
        <v>90</v>
      </c>
      <c r="D15" s="101" t="n">
        <f aca="false">SUMIF($H$8:$S$8,"Разработка",$H$15:$S$15)</f>
        <v>0</v>
      </c>
      <c r="E15" s="101" t="n">
        <f aca="false">SUMIF($H$8:$S$8,"Операционка",$H$15:$S$15)</f>
        <v>612516.15</v>
      </c>
      <c r="F15" s="101" t="n">
        <f aca="false">SUM($H$15:$S$15)</f>
        <v>612516.15</v>
      </c>
      <c r="G15" s="102"/>
      <c r="H15" s="101" t="n">
        <f aca="false">SUM(H12:H14)</f>
        <v>0</v>
      </c>
      <c r="I15" s="101" t="n">
        <f aca="false">SUM(I12:I14)</f>
        <v>0</v>
      </c>
      <c r="J15" s="101" t="n">
        <f aca="false">SUM(J12:J14)</f>
        <v>0</v>
      </c>
      <c r="K15" s="101" t="n">
        <f aca="false">SUM(K12:K14)</f>
        <v>0</v>
      </c>
      <c r="L15" s="101" t="n">
        <f aca="false">SUM(L12:L14)</f>
        <v>10305.35</v>
      </c>
      <c r="M15" s="101" t="n">
        <f aca="false">SUM(M12:M14)</f>
        <v>21378.7</v>
      </c>
      <c r="N15" s="101" t="n">
        <f aca="false">SUM(N12:N14)</f>
        <v>36805.3</v>
      </c>
      <c r="O15" s="101" t="n">
        <f aca="false">SUM(O12:O14)</f>
        <v>53531.1</v>
      </c>
      <c r="P15" s="101" t="n">
        <f aca="false">SUM(P12:P14)</f>
        <v>71647.7</v>
      </c>
      <c r="Q15" s="101" t="n">
        <f aca="false">SUM(Q12:Q14)</f>
        <v>100018.8</v>
      </c>
      <c r="R15" s="101" t="n">
        <f aca="false">SUM(R12:R14)</f>
        <v>138459.2</v>
      </c>
      <c r="S15" s="101" t="n">
        <f aca="false">SUM(S12:S14)</f>
        <v>180370</v>
      </c>
    </row>
    <row r="16" customFormat="false" ht="14.25" hidden="false" customHeight="false" outlineLevel="0" collapsed="false">
      <c r="B16" s="71" t="s">
        <v>297</v>
      </c>
      <c r="C16" s="27" t="s">
        <v>90</v>
      </c>
      <c r="D16" s="66" t="n">
        <f aca="false">SUMIF($H$8:$S$8,"Разработка",$H$16:$S$16)</f>
        <v>0</v>
      </c>
      <c r="E16" s="66" t="n">
        <f aca="false">SUMIF($H$8:$S$8,"Операционка",$H$16:$S$16)</f>
        <v>-37229.76</v>
      </c>
      <c r="F16" s="67" t="n">
        <f aca="false">SUM($H$16:$S$16)</f>
        <v>-37229.76</v>
      </c>
      <c r="H16" s="98" t="n">
        <f aca="false">-Расходы!H19</f>
        <v>-0</v>
      </c>
      <c r="I16" s="98" t="n">
        <f aca="false">-Расходы!I19</f>
        <v>-0</v>
      </c>
      <c r="J16" s="98" t="n">
        <f aca="false">-Расходы!J19</f>
        <v>-0</v>
      </c>
      <c r="K16" s="98" t="n">
        <f aca="false">-Расходы!K19</f>
        <v>-0</v>
      </c>
      <c r="L16" s="98" t="n">
        <f aca="false">-Расходы!L19</f>
        <v>-487.74</v>
      </c>
      <c r="M16" s="98" t="n">
        <f aca="false">-Расходы!M19</f>
        <v>-1074.48</v>
      </c>
      <c r="N16" s="98" t="n">
        <f aca="false">-Расходы!N19</f>
        <v>-1912.92</v>
      </c>
      <c r="O16" s="98" t="n">
        <f aca="false">-Расходы!O19</f>
        <v>-2903.04</v>
      </c>
      <c r="P16" s="98" t="n">
        <f aca="false">-Расходы!P19</f>
        <v>-4107.18</v>
      </c>
      <c r="Q16" s="98" t="n">
        <f aca="false">-Расходы!Q19</f>
        <v>-6084.72</v>
      </c>
      <c r="R16" s="98" t="n">
        <f aca="false">-Расходы!R19</f>
        <v>-8791.68</v>
      </c>
      <c r="S16" s="98" t="n">
        <f aca="false">-Расходы!S19</f>
        <v>-11868</v>
      </c>
    </row>
    <row r="17" customFormat="false" ht="14.25" hidden="false" customHeight="false" outlineLevel="0" collapsed="false">
      <c r="B17" s="68" t="s">
        <v>298</v>
      </c>
      <c r="C17" s="69" t="s">
        <v>90</v>
      </c>
      <c r="D17" s="70" t="n">
        <f aca="false">SUMIF($H$8:$S$8,"Разработка",$H$17:$S$17)</f>
        <v>0</v>
      </c>
      <c r="E17" s="70" t="n">
        <f aca="false">SUMIF($H$8:$S$8,"Операционка",$H$17:$S$17)</f>
        <v>575286.39</v>
      </c>
      <c r="F17" s="70" t="n">
        <f aca="false">SUM($H$17:$S$17)</f>
        <v>575286.39</v>
      </c>
      <c r="H17" s="70" t="n">
        <f aca="false">H15+H16</f>
        <v>0</v>
      </c>
      <c r="I17" s="70" t="n">
        <f aca="false">I15+I16</f>
        <v>0</v>
      </c>
      <c r="J17" s="70" t="n">
        <f aca="false">J15+J16</f>
        <v>0</v>
      </c>
      <c r="K17" s="70" t="n">
        <f aca="false">K15+K16</f>
        <v>0</v>
      </c>
      <c r="L17" s="70" t="n">
        <f aca="false">L15+L16</f>
        <v>9817.61</v>
      </c>
      <c r="M17" s="70" t="n">
        <f aca="false">M15+M16</f>
        <v>20304.22</v>
      </c>
      <c r="N17" s="70" t="n">
        <f aca="false">N15+N16</f>
        <v>34892.38</v>
      </c>
      <c r="O17" s="70" t="n">
        <f aca="false">O15+O16</f>
        <v>50628.06</v>
      </c>
      <c r="P17" s="70" t="n">
        <f aca="false">P15+P16</f>
        <v>67540.52</v>
      </c>
      <c r="Q17" s="70" t="n">
        <f aca="false">Q15+Q16</f>
        <v>93934.08</v>
      </c>
      <c r="R17" s="70" t="n">
        <f aca="false">R15+R16</f>
        <v>129667.52</v>
      </c>
      <c r="S17" s="70" t="n">
        <f aca="false">S15+S16</f>
        <v>168502</v>
      </c>
    </row>
    <row r="19" customFormat="false" ht="16.5" hidden="false" customHeight="true" outlineLevel="0" collapsed="false">
      <c r="B19" s="6" t="s">
        <v>285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customFormat="false" ht="14.25" hidden="false" customHeight="false" outlineLevel="0" collapsed="false">
      <c r="B20" s="71" t="s">
        <v>140</v>
      </c>
      <c r="C20" s="27" t="s">
        <v>90</v>
      </c>
      <c r="D20" s="66" t="n">
        <f aca="false">SUMIF($H$8:$S$8,"Разработка",$H$20:$S$20)</f>
        <v>-16000</v>
      </c>
      <c r="E20" s="66" t="n">
        <f aca="false">SUMIF($H$8:$S$8,"Операционка",$H$20:$S$20)</f>
        <v>-76651.25</v>
      </c>
      <c r="F20" s="67" t="n">
        <f aca="false">SUM($H$20:$S$20)</f>
        <v>-92651.25</v>
      </c>
      <c r="H20" s="98" t="n">
        <f aca="false">-Расходы!H12</f>
        <v>-4000</v>
      </c>
      <c r="I20" s="98" t="n">
        <f aca="false">-Расходы!I12</f>
        <v>-4000</v>
      </c>
      <c r="J20" s="98" t="n">
        <f aca="false">-Расходы!J12</f>
        <v>-4000</v>
      </c>
      <c r="K20" s="98" t="n">
        <f aca="false">-Расходы!K12</f>
        <v>-4000</v>
      </c>
      <c r="L20" s="98" t="n">
        <f aca="false">-Расходы!L12</f>
        <v>-4911.25</v>
      </c>
      <c r="M20" s="98" t="n">
        <f aca="false">-Расходы!M12</f>
        <v>-5822.5</v>
      </c>
      <c r="N20" s="98" t="n">
        <f aca="false">-Расходы!N12</f>
        <v>-7037.5</v>
      </c>
      <c r="O20" s="98" t="n">
        <f aca="false">-Расходы!O12</f>
        <v>-8252.5</v>
      </c>
      <c r="P20" s="98" t="n">
        <f aca="false">-Расходы!P12</f>
        <v>-9467.5</v>
      </c>
      <c r="Q20" s="98" t="n">
        <f aca="false">-Расходы!Q12</f>
        <v>-11290</v>
      </c>
      <c r="R20" s="98" t="n">
        <f aca="false">-Расходы!R12</f>
        <v>-13720</v>
      </c>
      <c r="S20" s="98" t="n">
        <f aca="false">-Расходы!S12</f>
        <v>-16150</v>
      </c>
    </row>
    <row r="21" customFormat="false" ht="14.25" hidden="false" customHeight="false" outlineLevel="0" collapsed="false">
      <c r="B21" s="71" t="s">
        <v>143</v>
      </c>
      <c r="C21" s="27" t="s">
        <v>90</v>
      </c>
      <c r="D21" s="66" t="n">
        <f aca="false">SUMIF($H$8:$S$8,"Разработка",$H$21:$S$21)</f>
        <v>-6000</v>
      </c>
      <c r="E21" s="66" t="n">
        <f aca="false">SUMIF($H$8:$S$8,"Операционка",$H$21:$S$21)</f>
        <v>-16000</v>
      </c>
      <c r="F21" s="67" t="n">
        <f aca="false">SUM($H$21:$S$21)</f>
        <v>-22000</v>
      </c>
      <c r="H21" s="98" t="n">
        <f aca="false">-Расходы!H13</f>
        <v>-0</v>
      </c>
      <c r="I21" s="98" t="n">
        <f aca="false">-Расходы!I13</f>
        <v>-2000</v>
      </c>
      <c r="J21" s="98" t="n">
        <f aca="false">-Расходы!J13</f>
        <v>-2000</v>
      </c>
      <c r="K21" s="98" t="n">
        <f aca="false">-Расходы!K13</f>
        <v>-2000</v>
      </c>
      <c r="L21" s="98" t="n">
        <f aca="false">-Расходы!L13</f>
        <v>-2000</v>
      </c>
      <c r="M21" s="98" t="n">
        <f aca="false">-Расходы!M13</f>
        <v>-2000</v>
      </c>
      <c r="N21" s="98" t="n">
        <f aca="false">-Расходы!N13</f>
        <v>-2000</v>
      </c>
      <c r="O21" s="98" t="n">
        <f aca="false">-Расходы!O13</f>
        <v>-2000</v>
      </c>
      <c r="P21" s="98" t="n">
        <f aca="false">-Расходы!P13</f>
        <v>-2000</v>
      </c>
      <c r="Q21" s="98" t="n">
        <f aca="false">-Расходы!Q13</f>
        <v>-2000</v>
      </c>
      <c r="R21" s="98" t="n">
        <f aca="false">-Расходы!R13</f>
        <v>-2000</v>
      </c>
      <c r="S21" s="98" t="n">
        <f aca="false">-Расходы!S13</f>
        <v>-2000</v>
      </c>
    </row>
    <row r="22" customFormat="false" ht="14.25" hidden="false" customHeight="false" outlineLevel="0" collapsed="false">
      <c r="B22" s="71" t="s">
        <v>144</v>
      </c>
      <c r="C22" s="27" t="s">
        <v>90</v>
      </c>
      <c r="D22" s="66" t="n">
        <f aca="false">SUMIF($H$8:$S$8,"Разработка",$H$22:$S$22)</f>
        <v>-10000</v>
      </c>
      <c r="E22" s="66" t="n">
        <f aca="false">SUMIF($H$8:$S$8,"Операционка",$H$22:$S$22)</f>
        <v>-80000</v>
      </c>
      <c r="F22" s="67" t="n">
        <f aca="false">SUM($H$22:$S$22)</f>
        <v>-90000</v>
      </c>
      <c r="H22" s="98" t="n">
        <f aca="false">-Расходы!H14</f>
        <v>-0</v>
      </c>
      <c r="I22" s="98" t="n">
        <f aca="false">-Расходы!I14</f>
        <v>-0</v>
      </c>
      <c r="J22" s="98" t="n">
        <f aca="false">-Расходы!J14</f>
        <v>-0</v>
      </c>
      <c r="K22" s="98" t="n">
        <f aca="false">-Расходы!K14</f>
        <v>-10000</v>
      </c>
      <c r="L22" s="98" t="n">
        <f aca="false">-Расходы!L14</f>
        <v>-10000</v>
      </c>
      <c r="M22" s="98" t="n">
        <f aca="false">-Расходы!M14</f>
        <v>-10000</v>
      </c>
      <c r="N22" s="98" t="n">
        <f aca="false">-Расходы!N14</f>
        <v>-10000</v>
      </c>
      <c r="O22" s="98" t="n">
        <f aca="false">-Расходы!O14</f>
        <v>-10000</v>
      </c>
      <c r="P22" s="98" t="n">
        <f aca="false">-Расходы!P14</f>
        <v>-10000</v>
      </c>
      <c r="Q22" s="98" t="n">
        <f aca="false">-Расходы!Q14</f>
        <v>-10000</v>
      </c>
      <c r="R22" s="98" t="n">
        <f aca="false">-Расходы!R14</f>
        <v>-10000</v>
      </c>
      <c r="S22" s="98" t="n">
        <f aca="false">-Расходы!S14</f>
        <v>-10000</v>
      </c>
    </row>
    <row r="23" customFormat="false" ht="14.25" hidden="false" customHeight="false" outlineLevel="0" collapsed="false">
      <c r="B23" s="71" t="s">
        <v>299</v>
      </c>
      <c r="C23" s="27" t="s">
        <v>90</v>
      </c>
      <c r="D23" s="66" t="n">
        <f aca="false">SUMIF($H$8:$S$8,"Разработка",$H$23:$S$23)</f>
        <v>-20000</v>
      </c>
      <c r="E23" s="66" t="n">
        <f aca="false">SUMIF($H$8:$S$8,"Операционка",$H$23:$S$23)</f>
        <v>-240000</v>
      </c>
      <c r="F23" s="67" t="n">
        <f aca="false">SUM($H$23:$S$23)</f>
        <v>-260000</v>
      </c>
      <c r="H23" s="98" t="n">
        <f aca="false">-Расходы!H15</f>
        <v>-0</v>
      </c>
      <c r="I23" s="98" t="n">
        <f aca="false">-Расходы!I15</f>
        <v>-0</v>
      </c>
      <c r="J23" s="98" t="n">
        <f aca="false">-Расходы!J15</f>
        <v>-10000</v>
      </c>
      <c r="K23" s="98" t="n">
        <f aca="false">-Расходы!K15</f>
        <v>-10000</v>
      </c>
      <c r="L23" s="98" t="n">
        <f aca="false">-Расходы!L15</f>
        <v>-30000</v>
      </c>
      <c r="M23" s="98" t="n">
        <f aca="false">-Расходы!M15</f>
        <v>-30000</v>
      </c>
      <c r="N23" s="98" t="n">
        <f aca="false">-Расходы!N15</f>
        <v>-30000</v>
      </c>
      <c r="O23" s="98" t="n">
        <f aca="false">-Расходы!O15</f>
        <v>-30000</v>
      </c>
      <c r="P23" s="98" t="n">
        <f aca="false">-Расходы!P15</f>
        <v>-30000</v>
      </c>
      <c r="Q23" s="98" t="n">
        <f aca="false">-Расходы!Q15</f>
        <v>-30000</v>
      </c>
      <c r="R23" s="98" t="n">
        <f aca="false">-Расходы!R15</f>
        <v>-30000</v>
      </c>
      <c r="S23" s="98" t="n">
        <f aca="false">-Расходы!S15</f>
        <v>-30000</v>
      </c>
    </row>
    <row r="24" customFormat="false" ht="14.25" hidden="false" customHeight="false" outlineLevel="0" collapsed="false">
      <c r="B24" s="68" t="s">
        <v>300</v>
      </c>
      <c r="C24" s="69" t="s">
        <v>90</v>
      </c>
      <c r="D24" s="70" t="n">
        <f aca="false">SUMIF($H$8:$S$8,"Разработка",$H$24:$S$24)</f>
        <v>-52000</v>
      </c>
      <c r="E24" s="70" t="n">
        <f aca="false">SUMIF($H$8:$S$8,"Операционка",$H$24:$S$24)</f>
        <v>-412651.25</v>
      </c>
      <c r="F24" s="70" t="n">
        <f aca="false">SUM($H$24:$S$24)</f>
        <v>-464651.25</v>
      </c>
      <c r="H24" s="70" t="n">
        <f aca="false">SUM(H20:H23)</f>
        <v>-4000</v>
      </c>
      <c r="I24" s="70" t="n">
        <f aca="false">SUM(I20:I23)</f>
        <v>-6000</v>
      </c>
      <c r="J24" s="70" t="n">
        <f aca="false">SUM(J20:J23)</f>
        <v>-16000</v>
      </c>
      <c r="K24" s="70" t="n">
        <f aca="false">SUM(K20:K23)</f>
        <v>-26000</v>
      </c>
      <c r="L24" s="70" t="n">
        <f aca="false">SUM(L20:L23)</f>
        <v>-46911.25</v>
      </c>
      <c r="M24" s="70" t="n">
        <f aca="false">SUM(M20:M23)</f>
        <v>-47822.5</v>
      </c>
      <c r="N24" s="70" t="n">
        <f aca="false">SUM(N20:N23)</f>
        <v>-49037.5</v>
      </c>
      <c r="O24" s="70" t="n">
        <f aca="false">SUM(O20:O23)</f>
        <v>-50252.5</v>
      </c>
      <c r="P24" s="70" t="n">
        <f aca="false">SUM(P20:P23)</f>
        <v>-51467.5</v>
      </c>
      <c r="Q24" s="70" t="n">
        <f aca="false">SUM(Q20:Q23)</f>
        <v>-53290</v>
      </c>
      <c r="R24" s="70" t="n">
        <f aca="false">SUM(R20:R23)</f>
        <v>-55720</v>
      </c>
      <c r="S24" s="70" t="n">
        <f aca="false">SUM(S20:S23)</f>
        <v>-58150</v>
      </c>
    </row>
    <row r="26" customFormat="false" ht="14.25" hidden="false" customHeight="false" outlineLevel="0" collapsed="false">
      <c r="B26" s="99" t="s">
        <v>301</v>
      </c>
      <c r="C26" s="100" t="s">
        <v>90</v>
      </c>
      <c r="D26" s="101" t="n">
        <f aca="false">SUMIF($H$8:$S$8,"Разработка",$H$26:$S$26)</f>
        <v>-52000</v>
      </c>
      <c r="E26" s="101" t="n">
        <f aca="false">SUMIF($H$8:$S$8,"Операционка",$H$26:$S$26)</f>
        <v>162635.14</v>
      </c>
      <c r="F26" s="101" t="n">
        <f aca="false">SUM($H$26:$S$26)</f>
        <v>110635.14</v>
      </c>
      <c r="G26" s="102"/>
      <c r="H26" s="101" t="n">
        <f aca="false">H17+H24</f>
        <v>-4000</v>
      </c>
      <c r="I26" s="101" t="n">
        <f aca="false">I17+I24</f>
        <v>-6000</v>
      </c>
      <c r="J26" s="101" t="n">
        <f aca="false">J17+J24</f>
        <v>-16000</v>
      </c>
      <c r="K26" s="101" t="n">
        <f aca="false">K17+K24</f>
        <v>-26000</v>
      </c>
      <c r="L26" s="101" t="n">
        <f aca="false">L17+L24</f>
        <v>-37093.64</v>
      </c>
      <c r="M26" s="101" t="n">
        <f aca="false">M17+M24</f>
        <v>-27518.28</v>
      </c>
      <c r="N26" s="101" t="n">
        <f aca="false">N17+N24</f>
        <v>-14145.12</v>
      </c>
      <c r="O26" s="101" t="n">
        <f aca="false">O17+O24</f>
        <v>375.560000000005</v>
      </c>
      <c r="P26" s="101" t="n">
        <f aca="false">P17+P24</f>
        <v>16073.02</v>
      </c>
      <c r="Q26" s="101" t="n">
        <f aca="false">Q17+Q24</f>
        <v>40644.08</v>
      </c>
      <c r="R26" s="101" t="n">
        <f aca="false">R17+R24</f>
        <v>73947.52</v>
      </c>
      <c r="S26" s="101" t="n">
        <f aca="false">S17+S24</f>
        <v>110352</v>
      </c>
    </row>
    <row r="27" customFormat="false" ht="14.25" hidden="false" customHeight="false" outlineLevel="0" collapsed="false">
      <c r="B27" s="82" t="s">
        <v>302</v>
      </c>
      <c r="C27" s="27" t="s">
        <v>106</v>
      </c>
      <c r="D27" s="103" t="n">
        <f aca="false">IF(D15&lt;&gt;0,D26/D15,0)</f>
        <v>0</v>
      </c>
      <c r="E27" s="103" t="n">
        <f aca="false">IF(E15&lt;&gt;0,E26/E15,0)</f>
        <v>0.265519758132092</v>
      </c>
      <c r="F27" s="103" t="n">
        <f aca="false">IF(F15&lt;&gt;0,F26/F15,0)</f>
        <v>0.18062403742334</v>
      </c>
      <c r="H27" s="103" t="n">
        <f aca="false">IF(H15&gt;0,H26/H15,0)</f>
        <v>0</v>
      </c>
      <c r="I27" s="103" t="n">
        <f aca="false">IF(I15&gt;0,I26/I15,0)</f>
        <v>0</v>
      </c>
      <c r="J27" s="103" t="n">
        <f aca="false">IF(J15&gt;0,J26/J15,0)</f>
        <v>0</v>
      </c>
      <c r="K27" s="103" t="n">
        <f aca="false">IF(K15&gt;0,K26/K15,0)</f>
        <v>0</v>
      </c>
      <c r="L27" s="103" t="n">
        <f aca="false">IF(L15&gt;0,L26/L15,0)</f>
        <v>-3.59945465219522</v>
      </c>
      <c r="M27" s="103" t="n">
        <f aca="false">IF(M15&gt;0,M26/M15,0)</f>
        <v>-1.28718210181162</v>
      </c>
      <c r="N27" s="103" t="n">
        <f aca="false">IF(N15&gt;0,N26/N15,0)</f>
        <v>-0.384322910015677</v>
      </c>
      <c r="O27" s="103" t="n">
        <f aca="false">IF(O15&gt;0,O26/O15,0)</f>
        <v>0.00701573477847466</v>
      </c>
      <c r="P27" s="103" t="n">
        <f aca="false">IF(P15&gt;0,P26/P15,0)</f>
        <v>0.224334067946354</v>
      </c>
      <c r="Q27" s="103" t="n">
        <f aca="false">IF(Q15&gt;0,Q26/Q15,0)</f>
        <v>0.406364403492144</v>
      </c>
      <c r="R27" s="103" t="n">
        <f aca="false">IF(R15&gt;0,R26/R15,0)</f>
        <v>0.534074442146134</v>
      </c>
      <c r="S27" s="103" t="n">
        <f aca="false">IF(S15&gt;0,S26/S15,0)</f>
        <v>0.611809059156179</v>
      </c>
    </row>
    <row r="28" customFormat="false" ht="14.25" hidden="true" customHeight="false" outlineLevel="0" collapsed="false">
      <c r="B28" s="65" t="s">
        <v>303</v>
      </c>
      <c r="C28" s="27" t="s">
        <v>90</v>
      </c>
      <c r="D28" s="66" t="n">
        <f aca="false">SUMIF($H$8:$S$8,"Разработка",$H$28:$S$28)</f>
        <v>0</v>
      </c>
      <c r="E28" s="66" t="n">
        <f aca="false">SUMIF($H$8:$S$8,"Операционка",$H$28:$S$28)</f>
        <v>0</v>
      </c>
      <c r="F28" s="67" t="n">
        <f aca="false">SUM($H$28:$S$28)</f>
        <v>0</v>
      </c>
      <c r="H28" s="98" t="n">
        <f aca="false">0</f>
        <v>0</v>
      </c>
      <c r="I28" s="98" t="n">
        <f aca="false">0</f>
        <v>0</v>
      </c>
      <c r="J28" s="98" t="n">
        <f aca="false">0</f>
        <v>0</v>
      </c>
      <c r="K28" s="98" t="n">
        <f aca="false">0</f>
        <v>0</v>
      </c>
      <c r="L28" s="98" t="n">
        <f aca="false">0</f>
        <v>0</v>
      </c>
      <c r="M28" s="98" t="n">
        <f aca="false">0</f>
        <v>0</v>
      </c>
      <c r="N28" s="98" t="n">
        <f aca="false">0</f>
        <v>0</v>
      </c>
      <c r="O28" s="98" t="n">
        <f aca="false">0</f>
        <v>0</v>
      </c>
      <c r="P28" s="98" t="n">
        <f aca="false">0</f>
        <v>0</v>
      </c>
      <c r="Q28" s="98" t="n">
        <f aca="false">0</f>
        <v>0</v>
      </c>
      <c r="R28" s="98" t="n">
        <f aca="false">0</f>
        <v>0</v>
      </c>
      <c r="S28" s="98" t="n">
        <f aca="false">0</f>
        <v>0</v>
      </c>
    </row>
    <row r="29" customFormat="false" ht="14.25" hidden="false" customHeight="false" outlineLevel="0" collapsed="false">
      <c r="B29" s="68" t="s">
        <v>304</v>
      </c>
      <c r="C29" s="69" t="s">
        <v>90</v>
      </c>
      <c r="D29" s="70" t="n">
        <f aca="false">SUMIF($H$8:$S$8,"Разработка",$H$29:$S$29)</f>
        <v>-52000</v>
      </c>
      <c r="E29" s="70" t="n">
        <f aca="false">SUMIF($H$8:$S$8,"Операционка",$H$29:$S$29)</f>
        <v>162635.14</v>
      </c>
      <c r="F29" s="70" t="n">
        <f aca="false">SUM($H$29:$S$29)</f>
        <v>110635.14</v>
      </c>
      <c r="H29" s="70" t="n">
        <f aca="false">H26+H28</f>
        <v>-4000</v>
      </c>
      <c r="I29" s="70" t="n">
        <f aca="false">I26+I28</f>
        <v>-6000</v>
      </c>
      <c r="J29" s="70" t="n">
        <f aca="false">J26+J28</f>
        <v>-16000</v>
      </c>
      <c r="K29" s="70" t="n">
        <f aca="false">K26+K28</f>
        <v>-26000</v>
      </c>
      <c r="L29" s="70" t="n">
        <f aca="false">L26+L28</f>
        <v>-37093.64</v>
      </c>
      <c r="M29" s="70" t="n">
        <f aca="false">M26+M28</f>
        <v>-27518.28</v>
      </c>
      <c r="N29" s="70" t="n">
        <f aca="false">N26+N28</f>
        <v>-14145.12</v>
      </c>
      <c r="O29" s="70" t="n">
        <f aca="false">O26+O28</f>
        <v>375.560000000005</v>
      </c>
      <c r="P29" s="70" t="n">
        <f aca="false">P26+P28</f>
        <v>16073.02</v>
      </c>
      <c r="Q29" s="70" t="n">
        <f aca="false">Q26+Q28</f>
        <v>40644.08</v>
      </c>
      <c r="R29" s="70" t="n">
        <f aca="false">R26+R28</f>
        <v>73947.52</v>
      </c>
      <c r="S29" s="70" t="n">
        <f aca="false">S26+S28</f>
        <v>110352</v>
      </c>
    </row>
    <row r="30" customFormat="false" ht="14.25" hidden="false" customHeight="false" outlineLevel="0" collapsed="false">
      <c r="B30" s="65" t="s">
        <v>305</v>
      </c>
      <c r="C30" s="27" t="s">
        <v>90</v>
      </c>
      <c r="D30" s="66" t="n">
        <f aca="false">SUMIF($H$8:$S$8,"Разработка",$H$30:$S$30)</f>
        <v>0</v>
      </c>
      <c r="E30" s="66" t="n">
        <f aca="false">SUMIF($H$8:$S$8,"Операционка",$H$30:$S$30)</f>
        <v>0</v>
      </c>
      <c r="F30" s="67" t="n">
        <f aca="false">SUM($H$30:$S$30)</f>
        <v>0</v>
      </c>
      <c r="H30" s="66" t="n">
        <f aca="false">-H41</f>
        <v>-0</v>
      </c>
      <c r="I30" s="66" t="n">
        <f aca="false">-I41</f>
        <v>-0</v>
      </c>
      <c r="J30" s="66" t="n">
        <f aca="false">-J41</f>
        <v>-0</v>
      </c>
      <c r="K30" s="66" t="n">
        <f aca="false">-K41</f>
        <v>-0</v>
      </c>
      <c r="L30" s="66" t="n">
        <f aca="false">-L41</f>
        <v>-0</v>
      </c>
      <c r="M30" s="66" t="n">
        <f aca="false">-M41</f>
        <v>-0</v>
      </c>
      <c r="N30" s="66" t="n">
        <f aca="false">-N41</f>
        <v>-0</v>
      </c>
      <c r="O30" s="66" t="n">
        <f aca="false">-O41</f>
        <v>-0</v>
      </c>
      <c r="P30" s="66" t="n">
        <f aca="false">-P41</f>
        <v>-0</v>
      </c>
      <c r="Q30" s="66" t="n">
        <f aca="false">-Q41</f>
        <v>-0</v>
      </c>
      <c r="R30" s="66" t="n">
        <f aca="false">-R41</f>
        <v>-0</v>
      </c>
      <c r="S30" s="66" t="n">
        <f aca="false">-S41</f>
        <v>-0</v>
      </c>
    </row>
    <row r="31" customFormat="false" ht="14.25" hidden="false" customHeight="false" outlineLevel="0" collapsed="false">
      <c r="B31" s="76" t="s">
        <v>306</v>
      </c>
      <c r="C31" s="77" t="s">
        <v>90</v>
      </c>
      <c r="D31" s="78" t="n">
        <f aca="false">SUMIF($H$8:$S$8,"Разработка",$H$31:$S$31)</f>
        <v>-52000</v>
      </c>
      <c r="E31" s="78" t="n">
        <f aca="false">SUMIF($H$8:$S$8,"Операционка",$H$31:$S$31)</f>
        <v>162635.14</v>
      </c>
      <c r="F31" s="78" t="n">
        <f aca="false">SUM($H$31:$S$31)</f>
        <v>110635.14</v>
      </c>
      <c r="G31" s="79"/>
      <c r="H31" s="78" t="n">
        <f aca="false">H29+H30</f>
        <v>-4000</v>
      </c>
      <c r="I31" s="78" t="n">
        <f aca="false">I29+I30</f>
        <v>-6000</v>
      </c>
      <c r="J31" s="78" t="n">
        <f aca="false">J29+J30</f>
        <v>-16000</v>
      </c>
      <c r="K31" s="78" t="n">
        <f aca="false">K29+K30</f>
        <v>-26000</v>
      </c>
      <c r="L31" s="78" t="n">
        <f aca="false">L29+L30</f>
        <v>-37093.64</v>
      </c>
      <c r="M31" s="78" t="n">
        <f aca="false">M29+M30</f>
        <v>-27518.28</v>
      </c>
      <c r="N31" s="78" t="n">
        <f aca="false">N29+N30</f>
        <v>-14145.12</v>
      </c>
      <c r="O31" s="78" t="n">
        <f aca="false">O29+O30</f>
        <v>375.560000000005</v>
      </c>
      <c r="P31" s="78" t="n">
        <f aca="false">P29+P30</f>
        <v>16073.02</v>
      </c>
      <c r="Q31" s="78" t="n">
        <f aca="false">Q29+Q30</f>
        <v>40644.08</v>
      </c>
      <c r="R31" s="78" t="n">
        <f aca="false">R29+R30</f>
        <v>73947.52</v>
      </c>
      <c r="S31" s="78" t="n">
        <f aca="false">S29+S30</f>
        <v>110352</v>
      </c>
    </row>
    <row r="32" customFormat="false" ht="14.25" hidden="false" customHeight="false" outlineLevel="0" collapsed="false">
      <c r="B32" s="82" t="s">
        <v>307</v>
      </c>
      <c r="C32" s="27" t="s">
        <v>106</v>
      </c>
      <c r="D32" s="103" t="n">
        <f aca="false">IF(D15&lt;&gt;0,D31/D15,0)</f>
        <v>0</v>
      </c>
      <c r="E32" s="103" t="n">
        <f aca="false">IF(E15&lt;&gt;0,E31/E15,0)</f>
        <v>0.265519758132092</v>
      </c>
      <c r="F32" s="103" t="n">
        <f aca="false">IF(F15&lt;&gt;0,F31/F15,0)</f>
        <v>0.18062403742334</v>
      </c>
      <c r="H32" s="103" t="n">
        <f aca="false">IF(H15&gt;0,H31/H15,0)</f>
        <v>0</v>
      </c>
      <c r="I32" s="103" t="n">
        <f aca="false">IF(I15&gt;0,I31/I15,0)</f>
        <v>0</v>
      </c>
      <c r="J32" s="103" t="n">
        <f aca="false">IF(J15&gt;0,J31/J15,0)</f>
        <v>0</v>
      </c>
      <c r="K32" s="103" t="n">
        <f aca="false">IF(K15&gt;0,K31/K15,0)</f>
        <v>0</v>
      </c>
      <c r="L32" s="103" t="n">
        <f aca="false">IF(L15&gt;0,L31/L15,0)</f>
        <v>-3.59945465219522</v>
      </c>
      <c r="M32" s="103" t="n">
        <f aca="false">IF(M15&gt;0,M31/M15,0)</f>
        <v>-1.28718210181162</v>
      </c>
      <c r="N32" s="103" t="n">
        <f aca="false">IF(N15&gt;0,N31/N15,0)</f>
        <v>-0.384322910015677</v>
      </c>
      <c r="O32" s="103" t="n">
        <f aca="false">IF(O15&gt;0,O31/O15,0)</f>
        <v>0.00701573477847466</v>
      </c>
      <c r="P32" s="103" t="n">
        <f aca="false">IF(P15&gt;0,P31/P15,0)</f>
        <v>0.224334067946354</v>
      </c>
      <c r="Q32" s="103" t="n">
        <f aca="false">IF(Q15&gt;0,Q31/Q15,0)</f>
        <v>0.406364403492144</v>
      </c>
      <c r="R32" s="103" t="n">
        <f aca="false">IF(R15&gt;0,R31/R15,0)</f>
        <v>0.534074442146134</v>
      </c>
      <c r="S32" s="103" t="n">
        <f aca="false">IF(S15&gt;0,S31/S15,0)</f>
        <v>0.611809059156179</v>
      </c>
    </row>
    <row r="33" customFormat="false" ht="14.25" hidden="false" customHeight="false" outlineLevel="0" collapsed="false">
      <c r="B33" s="65" t="s">
        <v>308</v>
      </c>
      <c r="C33" s="27" t="s">
        <v>90</v>
      </c>
      <c r="D33" s="66" t="n">
        <f aca="false">INDEX($H$33:$S$33,1,Дев_мес)</f>
        <v>-52000</v>
      </c>
      <c r="E33" s="66" t="n">
        <f aca="false">IF(Опер_мес&gt;0,S33,"")</f>
        <v>110635.14</v>
      </c>
      <c r="F33" s="67" t="n">
        <f aca="false">S33</f>
        <v>110635.14</v>
      </c>
      <c r="H33" s="66" t="n">
        <f aca="false">H31</f>
        <v>-4000</v>
      </c>
      <c r="I33" s="66" t="n">
        <f aca="false">H33+I31</f>
        <v>-10000</v>
      </c>
      <c r="J33" s="66" t="n">
        <f aca="false">I33+J31</f>
        <v>-26000</v>
      </c>
      <c r="K33" s="66" t="n">
        <f aca="false">J33+K31</f>
        <v>-52000</v>
      </c>
      <c r="L33" s="66" t="n">
        <f aca="false">K33+L31</f>
        <v>-89093.64</v>
      </c>
      <c r="M33" s="66" t="n">
        <f aca="false">L33+M31</f>
        <v>-116611.92</v>
      </c>
      <c r="N33" s="66" t="n">
        <f aca="false">M33+N31</f>
        <v>-130757.04</v>
      </c>
      <c r="O33" s="66" t="n">
        <f aca="false">N33+O31</f>
        <v>-130381.48</v>
      </c>
      <c r="P33" s="66" t="n">
        <f aca="false">O33+P31</f>
        <v>-114308.46</v>
      </c>
      <c r="Q33" s="66" t="n">
        <f aca="false">P33+Q31</f>
        <v>-73664.38</v>
      </c>
      <c r="R33" s="66" t="n">
        <f aca="false">Q33+R31</f>
        <v>283.140000000029</v>
      </c>
      <c r="S33" s="66" t="n">
        <f aca="false">R33+S31</f>
        <v>110635.14</v>
      </c>
    </row>
    <row r="35" customFormat="false" ht="16.5" hidden="false" customHeight="true" outlineLevel="0" collapsed="false">
      <c r="B35" s="6" t="s">
        <v>309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</row>
    <row r="36" customFormat="false" ht="14.25" hidden="false" customHeight="false" outlineLevel="1" collapsed="false">
      <c r="B36" s="82" t="s">
        <v>310</v>
      </c>
      <c r="C36" s="27"/>
      <c r="D36" s="26"/>
      <c r="E36" s="26"/>
      <c r="F36" s="26"/>
      <c r="H36" s="104" t="n">
        <f aca="false">YEAR(H$7)</f>
        <v>2026</v>
      </c>
      <c r="I36" s="104" t="n">
        <f aca="false">YEAR(I$7)</f>
        <v>2026</v>
      </c>
      <c r="J36" s="104" t="n">
        <f aca="false">YEAR(J$7)</f>
        <v>2026</v>
      </c>
      <c r="K36" s="104" t="n">
        <f aca="false">YEAR(K$7)</f>
        <v>2026</v>
      </c>
      <c r="L36" s="104" t="n">
        <f aca="false">YEAR(L$7)</f>
        <v>2027</v>
      </c>
      <c r="M36" s="104" t="n">
        <f aca="false">YEAR(M$7)</f>
        <v>2027</v>
      </c>
      <c r="N36" s="104" t="n">
        <f aca="false">YEAR(N$7)</f>
        <v>2027</v>
      </c>
      <c r="O36" s="104" t="n">
        <f aca="false">YEAR(O$7)</f>
        <v>2027</v>
      </c>
      <c r="P36" s="104" t="n">
        <f aca="false">YEAR(P$7)</f>
        <v>2027</v>
      </c>
      <c r="Q36" s="104" t="n">
        <f aca="false">YEAR(Q$7)</f>
        <v>2027</v>
      </c>
      <c r="R36" s="104" t="n">
        <f aca="false">YEAR(R$7)</f>
        <v>2027</v>
      </c>
      <c r="S36" s="104" t="n">
        <f aca="false">YEAR(S$7)</f>
        <v>2027</v>
      </c>
    </row>
    <row r="37" customFormat="false" ht="14.25" hidden="false" customHeight="false" outlineLevel="1" collapsed="false">
      <c r="B37" s="82" t="s">
        <v>311</v>
      </c>
      <c r="C37" s="27" t="s">
        <v>90</v>
      </c>
      <c r="D37" s="105" t="n">
        <f aca="false">INDEX($H$37:$S$37,1,Дев_мес)</f>
        <v>0</v>
      </c>
      <c r="E37" s="105" t="n">
        <f aca="false">IF(Опер_мес&gt;0,S37,"")</f>
        <v>612516.15</v>
      </c>
      <c r="F37" s="105" t="n">
        <f aca="false">S37</f>
        <v>612516.15</v>
      </c>
      <c r="H37" s="105" t="n">
        <f aca="false">ДДС!H12</f>
        <v>0</v>
      </c>
      <c r="I37" s="105" t="n">
        <f aca="false">IF(I36=H36,H37,0)+ДДС!I12</f>
        <v>0</v>
      </c>
      <c r="J37" s="105" t="n">
        <f aca="false">IF(J36=I36,I37,0)+ДДС!J12</f>
        <v>0</v>
      </c>
      <c r="K37" s="105" t="n">
        <f aca="false">IF(K36=J36,J37,0)+ДДС!K12</f>
        <v>0</v>
      </c>
      <c r="L37" s="105" t="n">
        <f aca="false">IF(L36=K36,K37,0)+ДДС!L12</f>
        <v>10305.35</v>
      </c>
      <c r="M37" s="105" t="n">
        <f aca="false">IF(M36=L36,L37,0)+ДДС!M12</f>
        <v>31684.05</v>
      </c>
      <c r="N37" s="105" t="n">
        <f aca="false">IF(N36=M36,M37,0)+ДДС!N12</f>
        <v>68489.35</v>
      </c>
      <c r="O37" s="105" t="n">
        <f aca="false">IF(O36=N36,N37,0)+ДДС!O12</f>
        <v>122020.45</v>
      </c>
      <c r="P37" s="105" t="n">
        <f aca="false">IF(P36=O36,O37,0)+ДДС!P12</f>
        <v>193668.15</v>
      </c>
      <c r="Q37" s="105" t="n">
        <f aca="false">IF(Q36=P36,P37,0)+ДДС!Q12</f>
        <v>293686.95</v>
      </c>
      <c r="R37" s="105" t="n">
        <f aca="false">IF(R36=Q36,Q37,0)+ДДС!R12</f>
        <v>432146.15</v>
      </c>
      <c r="S37" s="105" t="n">
        <f aca="false">IF(S36=R36,R37,0)+ДДС!S12</f>
        <v>612516.15</v>
      </c>
    </row>
    <row r="38" customFormat="false" ht="14.25" hidden="false" customHeight="false" outlineLevel="1" collapsed="false">
      <c r="B38" s="82" t="s">
        <v>312</v>
      </c>
      <c r="C38" s="27" t="s">
        <v>90</v>
      </c>
      <c r="D38" s="105" t="n">
        <f aca="false">INDEX($H$38:$S$38,1,Дев_мес)</f>
        <v>0</v>
      </c>
      <c r="E38" s="105" t="n">
        <f aca="false">IF(Опер_мес&gt;0,S38,"")</f>
        <v>36750.969</v>
      </c>
      <c r="F38" s="105" t="n">
        <f aca="false">S38</f>
        <v>36750.969</v>
      </c>
      <c r="H38" s="105" t="n">
        <f aca="false">Ставка_УСН*H37</f>
        <v>0</v>
      </c>
      <c r="I38" s="105" t="n">
        <f aca="false">Ставка_УСН*I37</f>
        <v>0</v>
      </c>
      <c r="J38" s="105" t="n">
        <f aca="false">Ставка_УСН*J37</f>
        <v>0</v>
      </c>
      <c r="K38" s="105" t="n">
        <f aca="false">Ставка_УСН*K37</f>
        <v>0</v>
      </c>
      <c r="L38" s="105" t="n">
        <f aca="false">Ставка_УСН*L37</f>
        <v>618.321</v>
      </c>
      <c r="M38" s="105" t="n">
        <f aca="false">Ставка_УСН*M37</f>
        <v>1901.043</v>
      </c>
      <c r="N38" s="105" t="n">
        <f aca="false">Ставка_УСН*N37</f>
        <v>4109.361</v>
      </c>
      <c r="O38" s="105" t="n">
        <f aca="false">Ставка_УСН*O37</f>
        <v>7321.227</v>
      </c>
      <c r="P38" s="105" t="n">
        <f aca="false">Ставка_УСН*P37</f>
        <v>11620.089</v>
      </c>
      <c r="Q38" s="105" t="n">
        <f aca="false">Ставка_УСН*Q37</f>
        <v>17621.217</v>
      </c>
      <c r="R38" s="105" t="n">
        <f aca="false">Ставка_УСН*R37</f>
        <v>25928.769</v>
      </c>
      <c r="S38" s="105" t="n">
        <f aca="false">Ставка_УСН*S37</f>
        <v>36750.969</v>
      </c>
    </row>
    <row r="39" customFormat="false" ht="14.25" hidden="false" customHeight="false" outlineLevel="1" collapsed="false">
      <c r="B39" s="82" t="s">
        <v>313</v>
      </c>
      <c r="C39" s="27" t="s">
        <v>90</v>
      </c>
      <c r="D39" s="105" t="n">
        <f aca="false">INDEX($H$39:$S$39,1,Дев_мес)</f>
        <v>0</v>
      </c>
      <c r="E39" s="105" t="n">
        <f aca="false">IF(Опер_мес&gt;0,S39,"")</f>
        <v>36750.969</v>
      </c>
      <c r="F39" s="105" t="n">
        <f aca="false">S39</f>
        <v>36750.969</v>
      </c>
      <c r="H39" s="105" t="n">
        <f aca="false">MIN(Взносы_вычет,Лимит_вычета*H38)</f>
        <v>0</v>
      </c>
      <c r="I39" s="105" t="n">
        <f aca="false">MIN(Взносы_вычет,Лимит_вычета*I38)</f>
        <v>0</v>
      </c>
      <c r="J39" s="105" t="n">
        <f aca="false">MIN(Взносы_вычет,Лимит_вычета*J38)</f>
        <v>0</v>
      </c>
      <c r="K39" s="105" t="n">
        <f aca="false">MIN(Взносы_вычет,Лимит_вычета*K38)</f>
        <v>0</v>
      </c>
      <c r="L39" s="105" t="n">
        <f aca="false">MIN(Взносы_вычет,Лимит_вычета*L38)</f>
        <v>618.321</v>
      </c>
      <c r="M39" s="105" t="n">
        <f aca="false">MIN(Взносы_вычет,Лимит_вычета*M38)</f>
        <v>1901.043</v>
      </c>
      <c r="N39" s="105" t="n">
        <f aca="false">MIN(Взносы_вычет,Лимит_вычета*N38)</f>
        <v>4109.361</v>
      </c>
      <c r="O39" s="105" t="n">
        <f aca="false">MIN(Взносы_вычет,Лимит_вычета*O38)</f>
        <v>7321.227</v>
      </c>
      <c r="P39" s="105" t="n">
        <f aca="false">MIN(Взносы_вычет,Лимит_вычета*P38)</f>
        <v>11620.089</v>
      </c>
      <c r="Q39" s="105" t="n">
        <f aca="false">MIN(Взносы_вычет,Лимит_вычета*Q38)</f>
        <v>17621.217</v>
      </c>
      <c r="R39" s="105" t="n">
        <f aca="false">MIN(Взносы_вычет,Лимит_вычета*R38)</f>
        <v>25928.769</v>
      </c>
      <c r="S39" s="105" t="n">
        <f aca="false">MIN(Взносы_вычет,Лимит_вычета*S38)</f>
        <v>36750.969</v>
      </c>
    </row>
    <row r="40" customFormat="false" ht="14.25" hidden="false" customHeight="false" outlineLevel="1" collapsed="false">
      <c r="B40" s="82" t="s">
        <v>314</v>
      </c>
      <c r="C40" s="27" t="s">
        <v>90</v>
      </c>
      <c r="D40" s="105" t="n">
        <f aca="false">INDEX($H$40:$S$40,1,Дев_мес)</f>
        <v>0</v>
      </c>
      <c r="E40" s="105" t="n">
        <f aca="false">IF(Опер_мес&gt;0,S40,"")</f>
        <v>0</v>
      </c>
      <c r="F40" s="105" t="n">
        <f aca="false">S40</f>
        <v>0</v>
      </c>
      <c r="H40" s="105" t="n">
        <f aca="false">MAX(0,H38-H39)</f>
        <v>0</v>
      </c>
      <c r="I40" s="105" t="n">
        <f aca="false">MAX(0,I38-I39)</f>
        <v>0</v>
      </c>
      <c r="J40" s="105" t="n">
        <f aca="false">MAX(0,J38-J39)</f>
        <v>0</v>
      </c>
      <c r="K40" s="105" t="n">
        <f aca="false">MAX(0,K38-K39)</f>
        <v>0</v>
      </c>
      <c r="L40" s="105" t="n">
        <f aca="false">MAX(0,L38-L39)</f>
        <v>0</v>
      </c>
      <c r="M40" s="105" t="n">
        <f aca="false">MAX(0,M38-M39)</f>
        <v>0</v>
      </c>
      <c r="N40" s="105" t="n">
        <f aca="false">MAX(0,N38-N39)</f>
        <v>0</v>
      </c>
      <c r="O40" s="105" t="n">
        <f aca="false">MAX(0,O38-O39)</f>
        <v>0</v>
      </c>
      <c r="P40" s="105" t="n">
        <f aca="false">MAX(0,P38-P39)</f>
        <v>0</v>
      </c>
      <c r="Q40" s="105" t="n">
        <f aca="false">MAX(0,Q38-Q39)</f>
        <v>0</v>
      </c>
      <c r="R40" s="105" t="n">
        <f aca="false">MAX(0,R38-R39)</f>
        <v>0</v>
      </c>
      <c r="S40" s="105" t="n">
        <f aca="false">MAX(0,S38-S39)</f>
        <v>0</v>
      </c>
    </row>
    <row r="41" customFormat="false" ht="14.25" hidden="false" customHeight="false" outlineLevel="1" collapsed="false">
      <c r="B41" s="82" t="s">
        <v>315</v>
      </c>
      <c r="C41" s="27" t="s">
        <v>90</v>
      </c>
      <c r="D41" s="105" t="n">
        <f aca="false">SUMIF($H$8:$S$8,"Разработка",$H$41:$S$41)</f>
        <v>0</v>
      </c>
      <c r="E41" s="105" t="n">
        <f aca="false">SUMIF($H$8:$S$8,"Операционка",$H$41:$S$41)</f>
        <v>0</v>
      </c>
      <c r="F41" s="105" t="n">
        <f aca="false">SUM($H$41:$S$41)</f>
        <v>0</v>
      </c>
      <c r="H41" s="105" t="n">
        <f aca="false">H40</f>
        <v>0</v>
      </c>
      <c r="I41" s="105" t="n">
        <f aca="false">I40-IF(I36=H36,H40,0)</f>
        <v>0</v>
      </c>
      <c r="J41" s="105" t="n">
        <f aca="false">J40-IF(J36=I36,I40,0)</f>
        <v>0</v>
      </c>
      <c r="K41" s="105" t="n">
        <f aca="false">K40-IF(K36=J36,J40,0)</f>
        <v>0</v>
      </c>
      <c r="L41" s="105" t="n">
        <f aca="false">L40-IF(L36=K36,K40,0)</f>
        <v>0</v>
      </c>
      <c r="M41" s="105" t="n">
        <f aca="false">M40-IF(M36=L36,L40,0)</f>
        <v>0</v>
      </c>
      <c r="N41" s="105" t="n">
        <f aca="false">N40-IF(N36=M36,M40,0)</f>
        <v>0</v>
      </c>
      <c r="O41" s="105" t="n">
        <f aca="false">O40-IF(O36=N36,N40,0)</f>
        <v>0</v>
      </c>
      <c r="P41" s="105" t="n">
        <f aca="false">P40-IF(P36=O36,O40,0)</f>
        <v>0</v>
      </c>
      <c r="Q41" s="105" t="n">
        <f aca="false">Q40-IF(Q36=P36,P40,0)</f>
        <v>0</v>
      </c>
      <c r="R41" s="105" t="n">
        <f aca="false">R40-IF(R36=Q36,Q40,0)</f>
        <v>0</v>
      </c>
      <c r="S41" s="105" t="n">
        <f aca="false">S40-IF(S36=R36,R40,0)</f>
        <v>0</v>
      </c>
    </row>
    <row r="42" customFormat="false" ht="14.25" hidden="false" customHeight="false" outlineLevel="0" collapsed="false">
      <c r="B42" s="15" t="s">
        <v>316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B2:S4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7" ySplit="9" topLeftCell="J10" activePane="bottomRight" state="frozen"/>
      <selection pane="topLeft" activeCell="A1" activeCellId="0" sqref="A1"/>
      <selection pane="topRight" activeCell="J1" activeCellId="0" sqref="J1"/>
      <selection pane="bottomLeft" activeCell="A10" activeCellId="0" sqref="A10"/>
      <selection pane="bottomRight" activeCell="D2" activeCellId="0" sqref="D2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1" width="1.44"/>
    <col collapsed="false" customWidth="true" hidden="false" outlineLevel="0" max="2" min="2" style="1" width="46"/>
    <col collapsed="false" customWidth="true" hidden="false" outlineLevel="0" max="3" min="3" style="1" width="8"/>
    <col collapsed="false" customWidth="true" hidden="false" outlineLevel="0" max="6" min="4" style="1" width="13.44"/>
    <col collapsed="false" customWidth="true" hidden="false" outlineLevel="0" max="7" min="7" style="1" width="1.44"/>
    <col collapsed="false" customWidth="true" hidden="false" outlineLevel="0" max="19" min="8" style="1" width="11.44"/>
  </cols>
  <sheetData>
    <row r="2" customFormat="false" ht="24" hidden="false" customHeight="true" outlineLevel="0" collapsed="false">
      <c r="B2" s="16" t="s">
        <v>317</v>
      </c>
    </row>
    <row r="3" customFormat="false" ht="14.25" hidden="false" customHeight="false" outlineLevel="0" collapsed="false">
      <c r="B3" s="5" t="s">
        <v>318</v>
      </c>
    </row>
    <row r="5" customFormat="false" ht="30" hidden="false" customHeight="true" outlineLevel="0" collapsed="false">
      <c r="B5" s="62" t="s">
        <v>51</v>
      </c>
      <c r="C5" s="20" t="s">
        <v>128</v>
      </c>
      <c r="D5" s="55" t="str">
        <f aca="false">"Разработка"&amp;CHAR(10)&amp;"("&amp;Дев_мес&amp;" мес.)"</f>
        <v>Разработка
(4 мес.)</v>
      </c>
      <c r="E5" s="55" t="str">
        <f aca="false">"Операционка"&amp;CHAR(10)&amp;"("&amp;Опер_мес&amp;" мес.)"</f>
        <v>Операционка
(8 мес.)</v>
      </c>
      <c r="F5" s="55" t="str">
        <f aca="false">"Итого"&amp;CHAR(10)&amp;"12 мес."</f>
        <v>Итого
12 мес.</v>
      </c>
      <c r="G5" s="19"/>
      <c r="H5" s="20" t="str">
        <f aca="false">Выручка!H$5</f>
        <v>Сен 2026</v>
      </c>
      <c r="I5" s="20" t="str">
        <f aca="false">Выручка!I$5</f>
        <v>Окт 2026</v>
      </c>
      <c r="J5" s="20" t="str">
        <f aca="false">Выручка!J$5</f>
        <v>Ноя 2026</v>
      </c>
      <c r="K5" s="20" t="str">
        <f aca="false">Выручка!K$5</f>
        <v>Дек 2026</v>
      </c>
      <c r="L5" s="20" t="str">
        <f aca="false">Выручка!L$5</f>
        <v>Янв 2027</v>
      </c>
      <c r="M5" s="20" t="str">
        <f aca="false">Выручка!M$5</f>
        <v>Фев 2027</v>
      </c>
      <c r="N5" s="20" t="str">
        <f aca="false">Выручка!N$5</f>
        <v>Мар 2027</v>
      </c>
      <c r="O5" s="20" t="str">
        <f aca="false">Выручка!O$5</f>
        <v>Апр 2027</v>
      </c>
      <c r="P5" s="20" t="str">
        <f aca="false">Выручка!P$5</f>
        <v>Май 2027</v>
      </c>
      <c r="Q5" s="20" t="str">
        <f aca="false">Выручка!Q$5</f>
        <v>Июн 2027</v>
      </c>
      <c r="R5" s="20" t="str">
        <f aca="false">Выручка!R$5</f>
        <v>Июл 2027</v>
      </c>
      <c r="S5" s="20" t="str">
        <f aca="false">Выручка!S$5</f>
        <v>Авг 2027</v>
      </c>
    </row>
    <row r="6" customFormat="false" ht="14.25" hidden="false" customHeight="false" outlineLevel="0" collapsed="false">
      <c r="B6" s="44" t="s">
        <v>199</v>
      </c>
      <c r="H6" s="63" t="n">
        <f aca="false">Выручка!H$6</f>
        <v>1</v>
      </c>
      <c r="I6" s="63" t="n">
        <f aca="false">Выручка!I$6</f>
        <v>2</v>
      </c>
      <c r="J6" s="63" t="n">
        <f aca="false">Выручка!J$6</f>
        <v>3</v>
      </c>
      <c r="K6" s="63" t="n">
        <f aca="false">Выручка!K$6</f>
        <v>4</v>
      </c>
      <c r="L6" s="63" t="n">
        <f aca="false">Выручка!L$6</f>
        <v>5</v>
      </c>
      <c r="M6" s="63" t="n">
        <f aca="false">Выручка!M$6</f>
        <v>6</v>
      </c>
      <c r="N6" s="63" t="n">
        <f aca="false">Выручка!N$6</f>
        <v>7</v>
      </c>
      <c r="O6" s="63" t="n">
        <f aca="false">Выручка!O$6</f>
        <v>8</v>
      </c>
      <c r="P6" s="63" t="n">
        <f aca="false">Выручка!P$6</f>
        <v>9</v>
      </c>
      <c r="Q6" s="63" t="n">
        <f aca="false">Выручка!Q$6</f>
        <v>10</v>
      </c>
      <c r="R6" s="63" t="n">
        <f aca="false">Выручка!R$6</f>
        <v>11</v>
      </c>
      <c r="S6" s="63" t="n">
        <f aca="false">Выручка!S$6</f>
        <v>12</v>
      </c>
    </row>
    <row r="7" customFormat="false" ht="14.25" hidden="false" customHeight="false" outlineLevel="0" collapsed="false">
      <c r="B7" s="44" t="s">
        <v>200</v>
      </c>
      <c r="H7" s="64" t="n">
        <f aca="false">Выручка!H$7</f>
        <v>46266</v>
      </c>
      <c r="I7" s="64" t="n">
        <f aca="false">Выручка!I$7</f>
        <v>46296</v>
      </c>
      <c r="J7" s="64" t="n">
        <f aca="false">Выручка!J$7</f>
        <v>46327</v>
      </c>
      <c r="K7" s="64" t="n">
        <f aca="false">Выручка!K$7</f>
        <v>46357</v>
      </c>
      <c r="L7" s="64" t="n">
        <f aca="false">Выручка!L$7</f>
        <v>46388</v>
      </c>
      <c r="M7" s="64" t="n">
        <f aca="false">Выручка!M$7</f>
        <v>46419</v>
      </c>
      <c r="N7" s="64" t="n">
        <f aca="false">Выручка!N$7</f>
        <v>46447</v>
      </c>
      <c r="O7" s="64" t="n">
        <f aca="false">Выручка!O$7</f>
        <v>46478</v>
      </c>
      <c r="P7" s="64" t="n">
        <f aca="false">Выручка!P$7</f>
        <v>46508</v>
      </c>
      <c r="Q7" s="64" t="n">
        <f aca="false">Выручка!Q$7</f>
        <v>46539</v>
      </c>
      <c r="R7" s="64" t="n">
        <f aca="false">Выручка!R$7</f>
        <v>46569</v>
      </c>
      <c r="S7" s="64" t="n">
        <f aca="false">Выручка!S$7</f>
        <v>46600</v>
      </c>
    </row>
    <row r="8" customFormat="false" ht="14.25" hidden="false" customHeight="false" outlineLevel="0" collapsed="false">
      <c r="B8" s="44" t="s">
        <v>201</v>
      </c>
      <c r="H8" s="45" t="str">
        <f aca="false">Выручка!H$8</f>
        <v>Разработка</v>
      </c>
      <c r="I8" s="45" t="str">
        <f aca="false">Выручка!I$8</f>
        <v>Разработка</v>
      </c>
      <c r="J8" s="45" t="str">
        <f aca="false">Выручка!J$8</f>
        <v>Разработка</v>
      </c>
      <c r="K8" s="45" t="str">
        <f aca="false">Выручка!K$8</f>
        <v>Разработка</v>
      </c>
      <c r="L8" s="45" t="str">
        <f aca="false">Выручка!L$8</f>
        <v>Операционка</v>
      </c>
      <c r="M8" s="45" t="str">
        <f aca="false">Выручка!M$8</f>
        <v>Операционка</v>
      </c>
      <c r="N8" s="45" t="str">
        <f aca="false">Выручка!N$8</f>
        <v>Операционка</v>
      </c>
      <c r="O8" s="45" t="str">
        <f aca="false">Выручка!O$8</f>
        <v>Операционка</v>
      </c>
      <c r="P8" s="45" t="str">
        <f aca="false">Выручка!P$8</f>
        <v>Операционка</v>
      </c>
      <c r="Q8" s="45" t="str">
        <f aca="false">Выручка!Q$8</f>
        <v>Операционка</v>
      </c>
      <c r="R8" s="45" t="str">
        <f aca="false">Выручка!R$8</f>
        <v>Операционка</v>
      </c>
      <c r="S8" s="45" t="str">
        <f aca="false">Выручка!S$8</f>
        <v>Операционка</v>
      </c>
    </row>
    <row r="9" customFormat="false" ht="14.25" hidden="false" customHeight="false" outlineLevel="0" collapsed="false">
      <c r="B9" s="44" t="s">
        <v>202</v>
      </c>
      <c r="H9" s="63" t="n">
        <f aca="false">Выручка!H$9</f>
        <v>0</v>
      </c>
      <c r="I9" s="63" t="n">
        <f aca="false">Выручка!I$9</f>
        <v>0</v>
      </c>
      <c r="J9" s="63" t="n">
        <f aca="false">Выручка!J$9</f>
        <v>0</v>
      </c>
      <c r="K9" s="63" t="n">
        <f aca="false">Выручка!K$9</f>
        <v>0</v>
      </c>
      <c r="L9" s="63" t="n">
        <f aca="false">Выручка!L$9</f>
        <v>1</v>
      </c>
      <c r="M9" s="63" t="n">
        <f aca="false">Выручка!M$9</f>
        <v>2</v>
      </c>
      <c r="N9" s="63" t="n">
        <f aca="false">Выручка!N$9</f>
        <v>3</v>
      </c>
      <c r="O9" s="63" t="n">
        <f aca="false">Выручка!O$9</f>
        <v>4</v>
      </c>
      <c r="P9" s="63" t="n">
        <f aca="false">Выручка!P$9</f>
        <v>5</v>
      </c>
      <c r="Q9" s="63" t="n">
        <f aca="false">Выручка!Q$9</f>
        <v>6</v>
      </c>
      <c r="R9" s="63" t="n">
        <f aca="false">Выручка!R$9</f>
        <v>7</v>
      </c>
      <c r="S9" s="63" t="n">
        <f aca="false">Выручка!S$9</f>
        <v>8</v>
      </c>
    </row>
    <row r="11" customFormat="false" ht="16.5" hidden="false" customHeight="true" outlineLevel="0" collapsed="false">
      <c r="B11" s="6" t="s">
        <v>319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customFormat="false" ht="14.25" hidden="false" customHeight="false" outlineLevel="0" collapsed="false">
      <c r="B12" s="71" t="s">
        <v>320</v>
      </c>
      <c r="C12" s="27" t="s">
        <v>90</v>
      </c>
      <c r="D12" s="66" t="n">
        <f aca="false">SUMIF($H$8:$S$8,"Разработка",$H$12:$S$12)</f>
        <v>0</v>
      </c>
      <c r="E12" s="66" t="n">
        <f aca="false">SUMIF($H$8:$S$8,"Операционка",$H$12:$S$12)</f>
        <v>612516.15</v>
      </c>
      <c r="F12" s="67" t="n">
        <f aca="false">SUM($H$12:$S$12)</f>
        <v>612516.15</v>
      </c>
      <c r="H12" s="66" t="n">
        <f aca="false">IF(H$6-Лаг_выручки&gt;=1,INDEX(Выручка!$H$36:$S$36,1,H$6-Лаг_выручки),0)</f>
        <v>0</v>
      </c>
      <c r="I12" s="66" t="n">
        <f aca="false">IF(I$6-Лаг_выручки&gt;=1,INDEX(Выручка!$H$36:$S$36,1,I$6-Лаг_выручки),0)</f>
        <v>0</v>
      </c>
      <c r="J12" s="66" t="n">
        <f aca="false">IF(J$6-Лаг_выручки&gt;=1,INDEX(Выручка!$H$36:$S$36,1,J$6-Лаг_выручки),0)</f>
        <v>0</v>
      </c>
      <c r="K12" s="66" t="n">
        <f aca="false">IF(K$6-Лаг_выручки&gt;=1,INDEX(Выручка!$H$36:$S$36,1,K$6-Лаг_выручки),0)</f>
        <v>0</v>
      </c>
      <c r="L12" s="66" t="n">
        <f aca="false">IF(L$6-Лаг_выручки&gt;=1,INDEX(Выручка!$H$36:$S$36,1,L$6-Лаг_выручки),0)</f>
        <v>10305.35</v>
      </c>
      <c r="M12" s="66" t="n">
        <f aca="false">IF(M$6-Лаг_выручки&gt;=1,INDEX(Выручка!$H$36:$S$36,1,M$6-Лаг_выручки),0)</f>
        <v>21378.7</v>
      </c>
      <c r="N12" s="66" t="n">
        <f aca="false">IF(N$6-Лаг_выручки&gt;=1,INDEX(Выручка!$H$36:$S$36,1,N$6-Лаг_выручки),0)</f>
        <v>36805.3</v>
      </c>
      <c r="O12" s="66" t="n">
        <f aca="false">IF(O$6-Лаг_выручки&gt;=1,INDEX(Выручка!$H$36:$S$36,1,O$6-Лаг_выручки),0)</f>
        <v>53531.1</v>
      </c>
      <c r="P12" s="66" t="n">
        <f aca="false">IF(P$6-Лаг_выручки&gt;=1,INDEX(Выручка!$H$36:$S$36,1,P$6-Лаг_выручки),0)</f>
        <v>71647.7</v>
      </c>
      <c r="Q12" s="66" t="n">
        <f aca="false">IF(Q$6-Лаг_выручки&gt;=1,INDEX(Выручка!$H$36:$S$36,1,Q$6-Лаг_выручки),0)</f>
        <v>100018.8</v>
      </c>
      <c r="R12" s="66" t="n">
        <f aca="false">IF(R$6-Лаг_выручки&gt;=1,INDEX(Выручка!$H$36:$S$36,1,R$6-Лаг_выручки),0)</f>
        <v>138459.2</v>
      </c>
      <c r="S12" s="66" t="n">
        <f aca="false">IF(S$6-Лаг_выручки&gt;=1,INDEX(Выручка!$H$36:$S$36,1,S$6-Лаг_выручки),0)</f>
        <v>180370</v>
      </c>
    </row>
    <row r="13" customFormat="false" ht="14.25" hidden="false" customHeight="false" outlineLevel="0" collapsed="false">
      <c r="B13" s="71" t="s">
        <v>92</v>
      </c>
      <c r="C13" s="27" t="s">
        <v>90</v>
      </c>
      <c r="D13" s="66" t="n">
        <f aca="false">SUMIF($H$8:$S$8,"Разработка",$H$13:$S$13)</f>
        <v>200000</v>
      </c>
      <c r="E13" s="66" t="n">
        <f aca="false">SUMIF($H$8:$S$8,"Операционка",$H$13:$S$13)</f>
        <v>0</v>
      </c>
      <c r="F13" s="67" t="n">
        <f aca="false">SUM($H$13:$S$13)</f>
        <v>200000</v>
      </c>
      <c r="H13" s="66" t="n">
        <f aca="false">IF(H$6=Мес_взноса,Собств_капитал,0)</f>
        <v>200000</v>
      </c>
      <c r="I13" s="66" t="n">
        <f aca="false">IF(I$6=Мес_взноса,Собств_капитал,0)</f>
        <v>0</v>
      </c>
      <c r="J13" s="66" t="n">
        <f aca="false">IF(J$6=Мес_взноса,Собств_капитал,0)</f>
        <v>0</v>
      </c>
      <c r="K13" s="66" t="n">
        <f aca="false">IF(K$6=Мес_взноса,Собств_капитал,0)</f>
        <v>0</v>
      </c>
      <c r="L13" s="66" t="n">
        <f aca="false">IF(L$6=Мес_взноса,Собств_капитал,0)</f>
        <v>0</v>
      </c>
      <c r="M13" s="66" t="n">
        <f aca="false">IF(M$6=Мес_взноса,Собств_капитал,0)</f>
        <v>0</v>
      </c>
      <c r="N13" s="66" t="n">
        <f aca="false">IF(N$6=Мес_взноса,Собств_капитал,0)</f>
        <v>0</v>
      </c>
      <c r="O13" s="66" t="n">
        <f aca="false">IF(O$6=Мес_взноса,Собств_капитал,0)</f>
        <v>0</v>
      </c>
      <c r="P13" s="66" t="n">
        <f aca="false">IF(P$6=Мес_взноса,Собств_капитал,0)</f>
        <v>0</v>
      </c>
      <c r="Q13" s="66" t="n">
        <f aca="false">IF(Q$6=Мес_взноса,Собств_капитал,0)</f>
        <v>0</v>
      </c>
      <c r="R13" s="66" t="n">
        <f aca="false">IF(R$6=Мес_взноса,Собств_капитал,0)</f>
        <v>0</v>
      </c>
      <c r="S13" s="66" t="n">
        <f aca="false">IF(S$6=Мес_взноса,Собств_капитал,0)</f>
        <v>0</v>
      </c>
    </row>
    <row r="14" customFormat="false" ht="14.25" hidden="true" customHeight="false" outlineLevel="0" collapsed="false">
      <c r="B14" s="71" t="s">
        <v>321</v>
      </c>
      <c r="C14" s="27" t="s">
        <v>90</v>
      </c>
      <c r="D14" s="66" t="n">
        <f aca="false">SUMIF($H$8:$S$8,"Разработка",$H$14:$S$14)</f>
        <v>0</v>
      </c>
      <c r="E14" s="66" t="n">
        <f aca="false">SUMIF($H$8:$S$8,"Операционка",$H$14:$S$14)</f>
        <v>0</v>
      </c>
      <c r="F14" s="67" t="n">
        <f aca="false">SUM($H$14:$S$14)</f>
        <v>0</v>
      </c>
      <c r="H14" s="98" t="n">
        <f aca="false">0</f>
        <v>0</v>
      </c>
      <c r="I14" s="98" t="n">
        <f aca="false">0</f>
        <v>0</v>
      </c>
      <c r="J14" s="98" t="n">
        <f aca="false">0</f>
        <v>0</v>
      </c>
      <c r="K14" s="98" t="n">
        <f aca="false">0</f>
        <v>0</v>
      </c>
      <c r="L14" s="98" t="n">
        <f aca="false">0</f>
        <v>0</v>
      </c>
      <c r="M14" s="98" t="n">
        <f aca="false">0</f>
        <v>0</v>
      </c>
      <c r="N14" s="98" t="n">
        <f aca="false">0</f>
        <v>0</v>
      </c>
      <c r="O14" s="98" t="n">
        <f aca="false">0</f>
        <v>0</v>
      </c>
      <c r="P14" s="98" t="n">
        <f aca="false">0</f>
        <v>0</v>
      </c>
      <c r="Q14" s="98" t="n">
        <f aca="false">0</f>
        <v>0</v>
      </c>
      <c r="R14" s="98" t="n">
        <f aca="false">0</f>
        <v>0</v>
      </c>
      <c r="S14" s="98" t="n">
        <f aca="false">0</f>
        <v>0</v>
      </c>
    </row>
    <row r="15" customFormat="false" ht="14.25" hidden="false" customHeight="false" outlineLevel="0" collapsed="false">
      <c r="B15" s="99" t="s">
        <v>322</v>
      </c>
      <c r="C15" s="100" t="s">
        <v>90</v>
      </c>
      <c r="D15" s="101" t="n">
        <f aca="false">SUMIF($H$8:$S$8,"Разработка",$H$15:$S$15)</f>
        <v>200000</v>
      </c>
      <c r="E15" s="101" t="n">
        <f aca="false">SUMIF($H$8:$S$8,"Операционка",$H$15:$S$15)</f>
        <v>612516.15</v>
      </c>
      <c r="F15" s="101" t="n">
        <f aca="false">SUM($H$15:$S$15)</f>
        <v>812516.15</v>
      </c>
      <c r="G15" s="102"/>
      <c r="H15" s="101" t="n">
        <f aca="false">SUM(H12:H14)</f>
        <v>200000</v>
      </c>
      <c r="I15" s="101" t="n">
        <f aca="false">SUM(I12:I14)</f>
        <v>0</v>
      </c>
      <c r="J15" s="101" t="n">
        <f aca="false">SUM(J12:J14)</f>
        <v>0</v>
      </c>
      <c r="K15" s="101" t="n">
        <f aca="false">SUM(K12:K14)</f>
        <v>0</v>
      </c>
      <c r="L15" s="101" t="n">
        <f aca="false">SUM(L12:L14)</f>
        <v>10305.35</v>
      </c>
      <c r="M15" s="101" t="n">
        <f aca="false">SUM(M12:M14)</f>
        <v>21378.7</v>
      </c>
      <c r="N15" s="101" t="n">
        <f aca="false">SUM(N12:N14)</f>
        <v>36805.3</v>
      </c>
      <c r="O15" s="101" t="n">
        <f aca="false">SUM(O12:O14)</f>
        <v>53531.1</v>
      </c>
      <c r="P15" s="101" t="n">
        <f aca="false">SUM(P12:P14)</f>
        <v>71647.7</v>
      </c>
      <c r="Q15" s="101" t="n">
        <f aca="false">SUM(Q12:Q14)</f>
        <v>100018.8</v>
      </c>
      <c r="R15" s="101" t="n">
        <f aca="false">SUM(R12:R14)</f>
        <v>138459.2</v>
      </c>
      <c r="S15" s="101" t="n">
        <f aca="false">SUM(S12:S14)</f>
        <v>180370</v>
      </c>
    </row>
    <row r="17" customFormat="false" ht="16.5" hidden="false" customHeight="true" outlineLevel="0" collapsed="false">
      <c r="B17" s="6" t="s">
        <v>323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customFormat="false" ht="14.25" hidden="false" customHeight="false" outlineLevel="0" collapsed="false">
      <c r="B18" s="71" t="s">
        <v>324</v>
      </c>
      <c r="C18" s="27" t="s">
        <v>90</v>
      </c>
      <c r="D18" s="66" t="n">
        <f aca="false">SUMIF($H$8:$S$8,"Разработка",$H$18:$S$18)</f>
        <v>-52000</v>
      </c>
      <c r="E18" s="66" t="n">
        <f aca="false">SUMIF($H$8:$S$8,"Операционка",$H$18:$S$18)</f>
        <v>-412651.25</v>
      </c>
      <c r="F18" s="67" t="n">
        <f aca="false">SUM($H$18:$S$18)</f>
        <v>-464651.25</v>
      </c>
      <c r="H18" s="98" t="n">
        <f aca="false">-Расходы!H16</f>
        <v>-4000</v>
      </c>
      <c r="I18" s="98" t="n">
        <f aca="false">-Расходы!I16</f>
        <v>-6000</v>
      </c>
      <c r="J18" s="98" t="n">
        <f aca="false">-Расходы!J16</f>
        <v>-16000</v>
      </c>
      <c r="K18" s="98" t="n">
        <f aca="false">-Расходы!K16</f>
        <v>-26000</v>
      </c>
      <c r="L18" s="98" t="n">
        <f aca="false">-Расходы!L16</f>
        <v>-46911.25</v>
      </c>
      <c r="M18" s="98" t="n">
        <f aca="false">-Расходы!M16</f>
        <v>-47822.5</v>
      </c>
      <c r="N18" s="98" t="n">
        <f aca="false">-Расходы!N16</f>
        <v>-49037.5</v>
      </c>
      <c r="O18" s="98" t="n">
        <f aca="false">-Расходы!O16</f>
        <v>-50252.5</v>
      </c>
      <c r="P18" s="98" t="n">
        <f aca="false">-Расходы!P16</f>
        <v>-51467.5</v>
      </c>
      <c r="Q18" s="98" t="n">
        <f aca="false">-Расходы!Q16</f>
        <v>-53290</v>
      </c>
      <c r="R18" s="98" t="n">
        <f aca="false">-Расходы!R16</f>
        <v>-55720</v>
      </c>
      <c r="S18" s="98" t="n">
        <f aca="false">-Расходы!S16</f>
        <v>-58150</v>
      </c>
    </row>
    <row r="19" customFormat="false" ht="14.25" hidden="false" customHeight="false" outlineLevel="0" collapsed="false">
      <c r="B19" s="71" t="s">
        <v>297</v>
      </c>
      <c r="C19" s="27" t="s">
        <v>90</v>
      </c>
      <c r="D19" s="66" t="n">
        <f aca="false">SUMIF($H$8:$S$8,"Разработка",$H$19:$S$19)</f>
        <v>0</v>
      </c>
      <c r="E19" s="66" t="n">
        <f aca="false">SUMIF($H$8:$S$8,"Операционка",$H$19:$S$19)</f>
        <v>-37229.76</v>
      </c>
      <c r="F19" s="67" t="n">
        <f aca="false">SUM($H$19:$S$19)</f>
        <v>-37229.76</v>
      </c>
      <c r="H19" s="66" t="n">
        <f aca="false">-IF(H$6-Лаг_выручки&gt;=1,INDEX(Расходы!$H$19:$S$19,1,H$6-Лаг_выручки),0)</f>
        <v>-0</v>
      </c>
      <c r="I19" s="66" t="n">
        <f aca="false">-IF(I$6-Лаг_выручки&gt;=1,INDEX(Расходы!$H$19:$S$19,1,I$6-Лаг_выручки),0)</f>
        <v>-0</v>
      </c>
      <c r="J19" s="66" t="n">
        <f aca="false">-IF(J$6-Лаг_выручки&gt;=1,INDEX(Расходы!$H$19:$S$19,1,J$6-Лаг_выручки),0)</f>
        <v>-0</v>
      </c>
      <c r="K19" s="66" t="n">
        <f aca="false">-IF(K$6-Лаг_выручки&gt;=1,INDEX(Расходы!$H$19:$S$19,1,K$6-Лаг_выручки),0)</f>
        <v>-0</v>
      </c>
      <c r="L19" s="66" t="n">
        <f aca="false">-IF(L$6-Лаг_выручки&gt;=1,INDEX(Расходы!$H$19:$S$19,1,L$6-Лаг_выручки),0)</f>
        <v>-487.74</v>
      </c>
      <c r="M19" s="66" t="n">
        <f aca="false">-IF(M$6-Лаг_выручки&gt;=1,INDEX(Расходы!$H$19:$S$19,1,M$6-Лаг_выручки),0)</f>
        <v>-1074.48</v>
      </c>
      <c r="N19" s="66" t="n">
        <f aca="false">-IF(N$6-Лаг_выручки&gt;=1,INDEX(Расходы!$H$19:$S$19,1,N$6-Лаг_выручки),0)</f>
        <v>-1912.92</v>
      </c>
      <c r="O19" s="66" t="n">
        <f aca="false">-IF(O$6-Лаг_выручки&gt;=1,INDEX(Расходы!$H$19:$S$19,1,O$6-Лаг_выручки),0)</f>
        <v>-2903.04</v>
      </c>
      <c r="P19" s="66" t="n">
        <f aca="false">-IF(P$6-Лаг_выручки&gt;=1,INDEX(Расходы!$H$19:$S$19,1,P$6-Лаг_выручки),0)</f>
        <v>-4107.18</v>
      </c>
      <c r="Q19" s="66" t="n">
        <f aca="false">-IF(Q$6-Лаг_выручки&gt;=1,INDEX(Расходы!$H$19:$S$19,1,Q$6-Лаг_выручки),0)</f>
        <v>-6084.72</v>
      </c>
      <c r="R19" s="66" t="n">
        <f aca="false">-IF(R$6-Лаг_выручки&gt;=1,INDEX(Расходы!$H$19:$S$19,1,R$6-Лаг_выручки),0)</f>
        <v>-8791.68</v>
      </c>
      <c r="S19" s="66" t="n">
        <f aca="false">-IF(S$6-Лаг_выручки&gt;=1,INDEX(Расходы!$H$19:$S$19,1,S$6-Лаг_выручки),0)</f>
        <v>-11868</v>
      </c>
    </row>
    <row r="20" customFormat="false" ht="14.25" hidden="false" customHeight="false" outlineLevel="0" collapsed="false">
      <c r="B20" s="71" t="s">
        <v>325</v>
      </c>
      <c r="C20" s="27" t="s">
        <v>90</v>
      </c>
      <c r="D20" s="66" t="n">
        <f aca="false">SUMIF($H$8:$S$8,"Разработка",$H$20:$S$20)</f>
        <v>0</v>
      </c>
      <c r="E20" s="66" t="n">
        <f aca="false">SUMIF($H$8:$S$8,"Операционка",$H$20:$S$20)</f>
        <v>0</v>
      </c>
      <c r="F20" s="67" t="n">
        <f aca="false">SUM($H$20:$S$20)</f>
        <v>0</v>
      </c>
      <c r="H20" s="98" t="n">
        <f aca="false">ОПиУ!H30</f>
        <v>-0</v>
      </c>
      <c r="I20" s="98" t="n">
        <f aca="false">ОПиУ!I30</f>
        <v>-0</v>
      </c>
      <c r="J20" s="98" t="n">
        <f aca="false">ОПиУ!J30</f>
        <v>-0</v>
      </c>
      <c r="K20" s="98" t="n">
        <f aca="false">ОПиУ!K30</f>
        <v>-0</v>
      </c>
      <c r="L20" s="98" t="n">
        <f aca="false">ОПиУ!L30</f>
        <v>-0</v>
      </c>
      <c r="M20" s="98" t="n">
        <f aca="false">ОПиУ!M30</f>
        <v>-0</v>
      </c>
      <c r="N20" s="98" t="n">
        <f aca="false">ОПиУ!N30</f>
        <v>-0</v>
      </c>
      <c r="O20" s="98" t="n">
        <f aca="false">ОПиУ!O30</f>
        <v>-0</v>
      </c>
      <c r="P20" s="98" t="n">
        <f aca="false">ОПиУ!P30</f>
        <v>-0</v>
      </c>
      <c r="Q20" s="98" t="n">
        <f aca="false">ОПиУ!Q30</f>
        <v>-0</v>
      </c>
      <c r="R20" s="98" t="n">
        <f aca="false">ОПиУ!R30</f>
        <v>-0</v>
      </c>
      <c r="S20" s="98" t="n">
        <f aca="false">ОПиУ!S30</f>
        <v>-0</v>
      </c>
    </row>
    <row r="21" customFormat="false" ht="14.25" hidden="true" customHeight="false" outlineLevel="0" collapsed="false">
      <c r="B21" s="71" t="s">
        <v>326</v>
      </c>
      <c r="C21" s="27" t="s">
        <v>90</v>
      </c>
      <c r="D21" s="66" t="n">
        <f aca="false">SUMIF($H$8:$S$8,"Разработка",$H$21:$S$21)</f>
        <v>0</v>
      </c>
      <c r="E21" s="66" t="n">
        <f aca="false">SUMIF($H$8:$S$8,"Операционка",$H$21:$S$21)</f>
        <v>0</v>
      </c>
      <c r="F21" s="67" t="n">
        <f aca="false">SUM($H$21:$S$21)</f>
        <v>0</v>
      </c>
      <c r="H21" s="98" t="n">
        <f aca="false">0</f>
        <v>0</v>
      </c>
      <c r="I21" s="98" t="n">
        <f aca="false">0</f>
        <v>0</v>
      </c>
      <c r="J21" s="98" t="n">
        <f aca="false">0</f>
        <v>0</v>
      </c>
      <c r="K21" s="98" t="n">
        <f aca="false">0</f>
        <v>0</v>
      </c>
      <c r="L21" s="98" t="n">
        <f aca="false">0</f>
        <v>0</v>
      </c>
      <c r="M21" s="98" t="n">
        <f aca="false">0</f>
        <v>0</v>
      </c>
      <c r="N21" s="98" t="n">
        <f aca="false">0</f>
        <v>0</v>
      </c>
      <c r="O21" s="98" t="n">
        <f aca="false">0</f>
        <v>0</v>
      </c>
      <c r="P21" s="98" t="n">
        <f aca="false">0</f>
        <v>0</v>
      </c>
      <c r="Q21" s="98" t="n">
        <f aca="false">0</f>
        <v>0</v>
      </c>
      <c r="R21" s="98" t="n">
        <f aca="false">0</f>
        <v>0</v>
      </c>
      <c r="S21" s="98" t="n">
        <f aca="false">0</f>
        <v>0</v>
      </c>
    </row>
    <row r="22" customFormat="false" ht="14.25" hidden="true" customHeight="false" outlineLevel="0" collapsed="false">
      <c r="B22" s="71" t="s">
        <v>327</v>
      </c>
      <c r="C22" s="27" t="s">
        <v>90</v>
      </c>
      <c r="D22" s="66" t="n">
        <f aca="false">SUMIF($H$8:$S$8,"Разработка",$H$22:$S$22)</f>
        <v>0</v>
      </c>
      <c r="E22" s="66" t="n">
        <f aca="false">SUMIF($H$8:$S$8,"Операционка",$H$22:$S$22)</f>
        <v>0</v>
      </c>
      <c r="F22" s="67" t="n">
        <f aca="false">SUM($H$22:$S$22)</f>
        <v>0</v>
      </c>
      <c r="H22" s="98" t="n">
        <f aca="false">0</f>
        <v>0</v>
      </c>
      <c r="I22" s="98" t="n">
        <f aca="false">0</f>
        <v>0</v>
      </c>
      <c r="J22" s="98" t="n">
        <f aca="false">0</f>
        <v>0</v>
      </c>
      <c r="K22" s="98" t="n">
        <f aca="false">0</f>
        <v>0</v>
      </c>
      <c r="L22" s="98" t="n">
        <f aca="false">0</f>
        <v>0</v>
      </c>
      <c r="M22" s="98" t="n">
        <f aca="false">0</f>
        <v>0</v>
      </c>
      <c r="N22" s="98" t="n">
        <f aca="false">0</f>
        <v>0</v>
      </c>
      <c r="O22" s="98" t="n">
        <f aca="false">0</f>
        <v>0</v>
      </c>
      <c r="P22" s="98" t="n">
        <f aca="false">0</f>
        <v>0</v>
      </c>
      <c r="Q22" s="98" t="n">
        <f aca="false">0</f>
        <v>0</v>
      </c>
      <c r="R22" s="98" t="n">
        <f aca="false">0</f>
        <v>0</v>
      </c>
      <c r="S22" s="98" t="n">
        <f aca="false">0</f>
        <v>0</v>
      </c>
    </row>
    <row r="23" customFormat="false" ht="14.25" hidden="false" customHeight="false" outlineLevel="0" collapsed="false">
      <c r="B23" s="99" t="s">
        <v>328</v>
      </c>
      <c r="C23" s="100" t="s">
        <v>90</v>
      </c>
      <c r="D23" s="101" t="n">
        <f aca="false">SUMIF($H$8:$S$8,"Разработка",$H$23:$S$23)</f>
        <v>-52000</v>
      </c>
      <c r="E23" s="101" t="n">
        <f aca="false">SUMIF($H$8:$S$8,"Операционка",$H$23:$S$23)</f>
        <v>-449881.01</v>
      </c>
      <c r="F23" s="101" t="n">
        <f aca="false">SUM($H$23:$S$23)</f>
        <v>-501881.01</v>
      </c>
      <c r="G23" s="102"/>
      <c r="H23" s="101" t="n">
        <f aca="false">SUM(H18:H22)</f>
        <v>-4000</v>
      </c>
      <c r="I23" s="101" t="n">
        <f aca="false">SUM(I18:I22)</f>
        <v>-6000</v>
      </c>
      <c r="J23" s="101" t="n">
        <f aca="false">SUM(J18:J22)</f>
        <v>-16000</v>
      </c>
      <c r="K23" s="101" t="n">
        <f aca="false">SUM(K18:K22)</f>
        <v>-26000</v>
      </c>
      <c r="L23" s="101" t="n">
        <f aca="false">SUM(L18:L22)</f>
        <v>-47398.99</v>
      </c>
      <c r="M23" s="101" t="n">
        <f aca="false">SUM(M18:M22)</f>
        <v>-48896.98</v>
      </c>
      <c r="N23" s="101" t="n">
        <f aca="false">SUM(N18:N22)</f>
        <v>-50950.42</v>
      </c>
      <c r="O23" s="101" t="n">
        <f aca="false">SUM(O18:O22)</f>
        <v>-53155.54</v>
      </c>
      <c r="P23" s="101" t="n">
        <f aca="false">SUM(P18:P22)</f>
        <v>-55574.68</v>
      </c>
      <c r="Q23" s="101" t="n">
        <f aca="false">SUM(Q18:Q22)</f>
        <v>-59374.72</v>
      </c>
      <c r="R23" s="101" t="n">
        <f aca="false">SUM(R18:R22)</f>
        <v>-64511.68</v>
      </c>
      <c r="S23" s="101" t="n">
        <f aca="false">SUM(S18:S22)</f>
        <v>-70018</v>
      </c>
    </row>
    <row r="25" customFormat="false" ht="14.25" hidden="false" customHeight="false" outlineLevel="0" collapsed="false">
      <c r="B25" s="76" t="s">
        <v>329</v>
      </c>
      <c r="C25" s="77" t="s">
        <v>90</v>
      </c>
      <c r="D25" s="78" t="n">
        <f aca="false">SUMIF($H$8:$S$8,"Разработка",$H$25:$S$25)</f>
        <v>148000</v>
      </c>
      <c r="E25" s="78" t="n">
        <f aca="false">SUMIF($H$8:$S$8,"Операционка",$H$25:$S$25)</f>
        <v>162635.14</v>
      </c>
      <c r="F25" s="78" t="n">
        <f aca="false">SUM($H$25:$S$25)</f>
        <v>310635.14</v>
      </c>
      <c r="G25" s="79"/>
      <c r="H25" s="78" t="n">
        <f aca="false">H15+H23</f>
        <v>196000</v>
      </c>
      <c r="I25" s="78" t="n">
        <f aca="false">I15+I23</f>
        <v>-6000</v>
      </c>
      <c r="J25" s="78" t="n">
        <f aca="false">J15+J23</f>
        <v>-16000</v>
      </c>
      <c r="K25" s="78" t="n">
        <f aca="false">K15+K23</f>
        <v>-26000</v>
      </c>
      <c r="L25" s="78" t="n">
        <f aca="false">L15+L23</f>
        <v>-37093.64</v>
      </c>
      <c r="M25" s="78" t="n">
        <f aca="false">M15+M23</f>
        <v>-27518.28</v>
      </c>
      <c r="N25" s="78" t="n">
        <f aca="false">N15+N23</f>
        <v>-14145.12</v>
      </c>
      <c r="O25" s="78" t="n">
        <f aca="false">O15+O23</f>
        <v>375.560000000005</v>
      </c>
      <c r="P25" s="78" t="n">
        <f aca="false">P15+P23</f>
        <v>16073.02</v>
      </c>
      <c r="Q25" s="78" t="n">
        <f aca="false">Q15+Q23</f>
        <v>40644.08</v>
      </c>
      <c r="R25" s="78" t="n">
        <f aca="false">R15+R23</f>
        <v>73947.52</v>
      </c>
      <c r="S25" s="78" t="n">
        <f aca="false">S15+S23</f>
        <v>110352</v>
      </c>
    </row>
    <row r="26" customFormat="false" ht="14.25" hidden="false" customHeight="false" outlineLevel="0" collapsed="false">
      <c r="B26" s="65" t="s">
        <v>330</v>
      </c>
      <c r="C26" s="27" t="s">
        <v>90</v>
      </c>
      <c r="D26" s="66" t="n">
        <f aca="false">H26</f>
        <v>0</v>
      </c>
      <c r="E26" s="66" t="n">
        <f aca="false">IF(Опер_мес&gt;0,INDEX($H$26:$S$26,1,Дев_мес+1),"")</f>
        <v>148000</v>
      </c>
      <c r="F26" s="67" t="n">
        <f aca="false">H26</f>
        <v>0</v>
      </c>
      <c r="H26" s="66" t="n">
        <f aca="false">0</f>
        <v>0</v>
      </c>
      <c r="I26" s="66" t="n">
        <f aca="false">H27</f>
        <v>196000</v>
      </c>
      <c r="J26" s="66" t="n">
        <f aca="false">I27</f>
        <v>190000</v>
      </c>
      <c r="K26" s="66" t="n">
        <f aca="false">J27</f>
        <v>174000</v>
      </c>
      <c r="L26" s="66" t="n">
        <f aca="false">K27</f>
        <v>148000</v>
      </c>
      <c r="M26" s="66" t="n">
        <f aca="false">L27</f>
        <v>110906.36</v>
      </c>
      <c r="N26" s="66" t="n">
        <f aca="false">M27</f>
        <v>83388.08</v>
      </c>
      <c r="O26" s="66" t="n">
        <f aca="false">N27</f>
        <v>69242.96</v>
      </c>
      <c r="P26" s="66" t="n">
        <f aca="false">O27</f>
        <v>69618.52</v>
      </c>
      <c r="Q26" s="66" t="n">
        <f aca="false">P27</f>
        <v>85691.54</v>
      </c>
      <c r="R26" s="66" t="n">
        <f aca="false">Q27</f>
        <v>126335.62</v>
      </c>
      <c r="S26" s="66" t="n">
        <f aca="false">R27</f>
        <v>200283.14</v>
      </c>
    </row>
    <row r="27" customFormat="false" ht="14.25" hidden="false" customHeight="false" outlineLevel="0" collapsed="false">
      <c r="B27" s="99" t="s">
        <v>331</v>
      </c>
      <c r="C27" s="100" t="s">
        <v>90</v>
      </c>
      <c r="D27" s="101" t="n">
        <f aca="false">INDEX($H$27:$S$27,1,Дев_мес)</f>
        <v>148000</v>
      </c>
      <c r="E27" s="101" t="n">
        <f aca="false">IF(Опер_мес&gt;0,S27,"")</f>
        <v>310635.14</v>
      </c>
      <c r="F27" s="101" t="n">
        <f aca="false">S27</f>
        <v>310635.14</v>
      </c>
      <c r="G27" s="102"/>
      <c r="H27" s="101" t="n">
        <f aca="false">H26+H25</f>
        <v>196000</v>
      </c>
      <c r="I27" s="101" t="n">
        <f aca="false">I26+I25</f>
        <v>190000</v>
      </c>
      <c r="J27" s="101" t="n">
        <f aca="false">J26+J25</f>
        <v>174000</v>
      </c>
      <c r="K27" s="101" t="n">
        <f aca="false">K26+K25</f>
        <v>148000</v>
      </c>
      <c r="L27" s="101" t="n">
        <f aca="false">L26+L25</f>
        <v>110906.36</v>
      </c>
      <c r="M27" s="101" t="n">
        <f aca="false">M26+M25</f>
        <v>83388.08</v>
      </c>
      <c r="N27" s="101" t="n">
        <f aca="false">N26+N25</f>
        <v>69242.96</v>
      </c>
      <c r="O27" s="101" t="n">
        <f aca="false">O26+O25</f>
        <v>69618.52</v>
      </c>
      <c r="P27" s="101" t="n">
        <f aca="false">P26+P25</f>
        <v>85691.54</v>
      </c>
      <c r="Q27" s="101" t="n">
        <f aca="false">Q26+Q25</f>
        <v>126335.62</v>
      </c>
      <c r="R27" s="101" t="n">
        <f aca="false">R26+R25</f>
        <v>200283.14</v>
      </c>
      <c r="S27" s="101" t="n">
        <f aca="false">S26+S25</f>
        <v>310635.14</v>
      </c>
    </row>
    <row r="29" customFormat="false" ht="16.5" hidden="false" customHeight="true" outlineLevel="0" collapsed="false">
      <c r="B29" s="6" t="s">
        <v>332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customFormat="false" ht="14.25" hidden="false" customHeight="false" outlineLevel="0" collapsed="false">
      <c r="B30" s="65" t="s">
        <v>333</v>
      </c>
      <c r="C30" s="27" t="s">
        <v>90</v>
      </c>
      <c r="D30" s="66" t="n">
        <f aca="false">SUMIF($H$8:$S$8,"Разработка",$H$30:$S$30)</f>
        <v>-52000</v>
      </c>
      <c r="E30" s="66" t="n">
        <f aca="false">SUMIF($H$8:$S$8,"Операционка",$H$30:$S$30)</f>
        <v>162635.14</v>
      </c>
      <c r="F30" s="67" t="n">
        <f aca="false">SUM($H$30:$S$30)</f>
        <v>110635.14</v>
      </c>
      <c r="H30" s="66" t="n">
        <f aca="false">H12+H18+H19+H20</f>
        <v>-4000</v>
      </c>
      <c r="I30" s="66" t="n">
        <f aca="false">I12+I18+I19+I20</f>
        <v>-6000</v>
      </c>
      <c r="J30" s="66" t="n">
        <f aca="false">J12+J18+J19+J20</f>
        <v>-16000</v>
      </c>
      <c r="K30" s="66" t="n">
        <f aca="false">K12+K18+K19+K20</f>
        <v>-26000</v>
      </c>
      <c r="L30" s="66" t="n">
        <f aca="false">L12+L18+L19+L20</f>
        <v>-37093.64</v>
      </c>
      <c r="M30" s="66" t="n">
        <f aca="false">M12+M18+M19+M20</f>
        <v>-27518.28</v>
      </c>
      <c r="N30" s="66" t="n">
        <f aca="false">N12+N18+N19+N20</f>
        <v>-14145.12</v>
      </c>
      <c r="O30" s="66" t="n">
        <f aca="false">O12+O18+O19+O20</f>
        <v>375.560000000005</v>
      </c>
      <c r="P30" s="66" t="n">
        <f aca="false">P12+P18+P19+P20</f>
        <v>16073.02</v>
      </c>
      <c r="Q30" s="66" t="n">
        <f aca="false">Q12+Q18+Q19+Q20</f>
        <v>40644.08</v>
      </c>
      <c r="R30" s="66" t="n">
        <f aca="false">R12+R18+R19+R20</f>
        <v>73947.52</v>
      </c>
      <c r="S30" s="66" t="n">
        <f aca="false">S12+S18+S19+S20</f>
        <v>110352</v>
      </c>
    </row>
    <row r="31" customFormat="false" ht="14.25" hidden="false" customHeight="false" outlineLevel="0" collapsed="false">
      <c r="B31" s="65" t="s">
        <v>334</v>
      </c>
      <c r="C31" s="27" t="s">
        <v>90</v>
      </c>
      <c r="D31" s="66" t="n">
        <f aca="false">SUMIF($H$8:$S$8,"Разработка",$H$31:$S$31)</f>
        <v>200000</v>
      </c>
      <c r="E31" s="66" t="n">
        <f aca="false">SUMIF($H$8:$S$8,"Операционка",$H$31:$S$31)</f>
        <v>0</v>
      </c>
      <c r="F31" s="67" t="n">
        <f aca="false">SUM($H$31:$S$31)</f>
        <v>200000</v>
      </c>
      <c r="H31" s="66" t="n">
        <f aca="false">H13+H14+H21+H22</f>
        <v>200000</v>
      </c>
      <c r="I31" s="66" t="n">
        <f aca="false">I13+I14+I21+I22</f>
        <v>0</v>
      </c>
      <c r="J31" s="66" t="n">
        <f aca="false">J13+J14+J21+J22</f>
        <v>0</v>
      </c>
      <c r="K31" s="66" t="n">
        <f aca="false">K13+K14+K21+K22</f>
        <v>0</v>
      </c>
      <c r="L31" s="66" t="n">
        <f aca="false">L13+L14+L21+L22</f>
        <v>0</v>
      </c>
      <c r="M31" s="66" t="n">
        <f aca="false">M13+M14+M21+M22</f>
        <v>0</v>
      </c>
      <c r="N31" s="66" t="n">
        <f aca="false">N13+N14+N21+N22</f>
        <v>0</v>
      </c>
      <c r="O31" s="66" t="n">
        <f aca="false">O13+O14+O21+O22</f>
        <v>0</v>
      </c>
      <c r="P31" s="66" t="n">
        <f aca="false">P13+P14+P21+P22</f>
        <v>0</v>
      </c>
      <c r="Q31" s="66" t="n">
        <f aca="false">Q13+Q14+Q21+Q22</f>
        <v>0</v>
      </c>
      <c r="R31" s="66" t="n">
        <f aca="false">R13+R14+R21+R22</f>
        <v>0</v>
      </c>
      <c r="S31" s="66" t="n">
        <f aca="false">S13+S14+S21+S22</f>
        <v>0</v>
      </c>
    </row>
    <row r="32" customFormat="false" ht="14.25" hidden="false" customHeight="false" outlineLevel="0" collapsed="false">
      <c r="B32" s="82" t="s">
        <v>335</v>
      </c>
      <c r="C32" s="27" t="s">
        <v>90</v>
      </c>
      <c r="D32" s="105" t="n">
        <f aca="false">SUMIF($H$8:$S$8,"Разработка",$H$32:$S$32)</f>
        <v>0</v>
      </c>
      <c r="E32" s="105" t="n">
        <f aca="false">SUMIF($H$8:$S$8,"Операционка",$H$32:$S$32)</f>
        <v>0</v>
      </c>
      <c r="F32" s="105" t="n">
        <f aca="false">SUM($H$32:$S$32)</f>
        <v>0</v>
      </c>
      <c r="H32" s="105" t="n">
        <f aca="false">ROUND(H30+H31-H25,2)</f>
        <v>0</v>
      </c>
      <c r="I32" s="105" t="n">
        <f aca="false">ROUND(I30+I31-I25,2)</f>
        <v>0</v>
      </c>
      <c r="J32" s="105" t="n">
        <f aca="false">ROUND(J30+J31-J25,2)</f>
        <v>0</v>
      </c>
      <c r="K32" s="105" t="n">
        <f aca="false">ROUND(K30+K31-K25,2)</f>
        <v>0</v>
      </c>
      <c r="L32" s="105" t="n">
        <f aca="false">ROUND(L30+L31-L25,2)</f>
        <v>0</v>
      </c>
      <c r="M32" s="105" t="n">
        <f aca="false">ROUND(M30+M31-M25,2)</f>
        <v>0</v>
      </c>
      <c r="N32" s="105" t="n">
        <f aca="false">ROUND(N30+N31-N25,2)</f>
        <v>0</v>
      </c>
      <c r="O32" s="105" t="n">
        <f aca="false">ROUND(O30+O31-O25,2)</f>
        <v>0</v>
      </c>
      <c r="P32" s="105" t="n">
        <f aca="false">ROUND(P30+P31-P25,2)</f>
        <v>0</v>
      </c>
      <c r="Q32" s="105" t="n">
        <f aca="false">ROUND(Q30+Q31-Q25,2)</f>
        <v>0</v>
      </c>
      <c r="R32" s="105" t="n">
        <f aca="false">ROUND(R30+R31-R25,2)</f>
        <v>0</v>
      </c>
      <c r="S32" s="105" t="n">
        <f aca="false">ROUND(S30+S31-S25,2)</f>
        <v>0</v>
      </c>
    </row>
    <row r="33" customFormat="false" ht="14.25" hidden="false" customHeight="false" outlineLevel="0" collapsed="false">
      <c r="B33" s="65" t="s">
        <v>336</v>
      </c>
      <c r="C33" s="27" t="s">
        <v>90</v>
      </c>
      <c r="D33" s="66" t="n">
        <f aca="false">SUMIF($H$8:$S$8,"Разработка",$H$33:$S$33)</f>
        <v>-52000</v>
      </c>
      <c r="E33" s="66" t="n">
        <f aca="false">SUMIF($H$8:$S$8,"Операционка",$H$33:$S$33)</f>
        <v>162635.14</v>
      </c>
      <c r="F33" s="67" t="n">
        <f aca="false">SUM($H$33:$S$33)</f>
        <v>110635.14</v>
      </c>
      <c r="H33" s="66" t="n">
        <f aca="false">H25-H13-H14</f>
        <v>-4000</v>
      </c>
      <c r="I33" s="66" t="n">
        <f aca="false">I25-I13-I14</f>
        <v>-6000</v>
      </c>
      <c r="J33" s="66" t="n">
        <f aca="false">J25-J13-J14</f>
        <v>-16000</v>
      </c>
      <c r="K33" s="66" t="n">
        <f aca="false">K25-K13-K14</f>
        <v>-26000</v>
      </c>
      <c r="L33" s="66" t="n">
        <f aca="false">L25-L13-L14</f>
        <v>-37093.64</v>
      </c>
      <c r="M33" s="66" t="n">
        <f aca="false">M25-M13-M14</f>
        <v>-27518.28</v>
      </c>
      <c r="N33" s="66" t="n">
        <f aca="false">N25-N13-N14</f>
        <v>-14145.12</v>
      </c>
      <c r="O33" s="66" t="n">
        <f aca="false">O25-O13-O14</f>
        <v>375.560000000005</v>
      </c>
      <c r="P33" s="66" t="n">
        <f aca="false">P25-P13-P14</f>
        <v>16073.02</v>
      </c>
      <c r="Q33" s="66" t="n">
        <f aca="false">Q25-Q13-Q14</f>
        <v>40644.08</v>
      </c>
      <c r="R33" s="66" t="n">
        <f aca="false">R25-R13-R14</f>
        <v>73947.52</v>
      </c>
      <c r="S33" s="66" t="n">
        <f aca="false">S25-S13-S14</f>
        <v>110352</v>
      </c>
    </row>
    <row r="34" customFormat="false" ht="14.25" hidden="false" customHeight="false" outlineLevel="0" collapsed="false">
      <c r="B34" s="68" t="s">
        <v>337</v>
      </c>
      <c r="C34" s="69" t="s">
        <v>90</v>
      </c>
      <c r="D34" s="70" t="n">
        <f aca="false">INDEX($H$34:$S$34,1,Дев_мес)</f>
        <v>-52000</v>
      </c>
      <c r="E34" s="70" t="n">
        <f aca="false">IF(Опер_мес&gt;0,S34,"")</f>
        <v>110635.14</v>
      </c>
      <c r="F34" s="70" t="n">
        <f aca="false">S34</f>
        <v>110635.14</v>
      </c>
      <c r="H34" s="70" t="n">
        <f aca="false">H33</f>
        <v>-4000</v>
      </c>
      <c r="I34" s="70" t="n">
        <f aca="false">H34+I33</f>
        <v>-10000</v>
      </c>
      <c r="J34" s="70" t="n">
        <f aca="false">I34+J33</f>
        <v>-26000</v>
      </c>
      <c r="K34" s="70" t="n">
        <f aca="false">J34+K33</f>
        <v>-52000</v>
      </c>
      <c r="L34" s="70" t="n">
        <f aca="false">K34+L33</f>
        <v>-89093.64</v>
      </c>
      <c r="M34" s="70" t="n">
        <f aca="false">L34+M33</f>
        <v>-116611.92</v>
      </c>
      <c r="N34" s="70" t="n">
        <f aca="false">M34+N33</f>
        <v>-130757.04</v>
      </c>
      <c r="O34" s="70" t="n">
        <f aca="false">N34+O33</f>
        <v>-130381.48</v>
      </c>
      <c r="P34" s="70" t="n">
        <f aca="false">O34+P33</f>
        <v>-114308.46</v>
      </c>
      <c r="Q34" s="70" t="n">
        <f aca="false">P34+Q33</f>
        <v>-73664.38</v>
      </c>
      <c r="R34" s="70" t="n">
        <f aca="false">Q34+R33</f>
        <v>283.140000000029</v>
      </c>
      <c r="S34" s="70" t="n">
        <f aca="false">R34+S33</f>
        <v>110635.14</v>
      </c>
    </row>
    <row r="36" customFormat="false" ht="16.5" hidden="false" customHeight="true" outlineLevel="0" collapsed="false">
      <c r="B36" s="6" t="s">
        <v>338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 customFormat="false" ht="14.25" hidden="false" customHeight="false" outlineLevel="0" collapsed="false">
      <c r="B37" s="82" t="s">
        <v>339</v>
      </c>
      <c r="C37" s="27" t="s">
        <v>90</v>
      </c>
      <c r="D37" s="26"/>
      <c r="E37" s="26"/>
      <c r="F37" s="105" t="n">
        <f aca="false">MIN($H$37:$S$37)</f>
        <v>18151.02</v>
      </c>
      <c r="H37" s="105" t="n">
        <f aca="false">H27-IF(H$6-Лаг_выручки&gt;=1,INDEX(Выручка!$H$36:$S$36,1,H$6-Лаг_выручки)-INDEX(Расходы!$H$19:$S$19,1,H$6-Лаг_выручки),0)</f>
        <v>196000</v>
      </c>
      <c r="I37" s="105" t="n">
        <f aca="false">I27-IF(I$6-Лаг_выручки&gt;=1,INDEX(Выручка!$H$36:$S$36,1,I$6-Лаг_выручки)-INDEX(Расходы!$H$19:$S$19,1,I$6-Лаг_выручки),0)</f>
        <v>190000</v>
      </c>
      <c r="J37" s="105" t="n">
        <f aca="false">J27-IF(J$6-Лаг_выручки&gt;=1,INDEX(Выручка!$H$36:$S$36,1,J$6-Лаг_выручки)-INDEX(Расходы!$H$19:$S$19,1,J$6-Лаг_выручки),0)</f>
        <v>174000</v>
      </c>
      <c r="K37" s="105" t="n">
        <f aca="false">K27-IF(K$6-Лаг_выручки&gt;=1,INDEX(Выручка!$H$36:$S$36,1,K$6-Лаг_выручки)-INDEX(Расходы!$H$19:$S$19,1,K$6-Лаг_выручки),0)</f>
        <v>148000</v>
      </c>
      <c r="L37" s="105" t="n">
        <f aca="false">L27-IF(L$6-Лаг_выручки&gt;=1,INDEX(Выручка!$H$36:$S$36,1,L$6-Лаг_выручки)-INDEX(Расходы!$H$19:$S$19,1,L$6-Лаг_выручки),0)</f>
        <v>101088.75</v>
      </c>
      <c r="M37" s="105" t="n">
        <f aca="false">M27-IF(M$6-Лаг_выручки&gt;=1,INDEX(Выручка!$H$36:$S$36,1,M$6-Лаг_выручки)-INDEX(Расходы!$H$19:$S$19,1,M$6-Лаг_выручки),0)</f>
        <v>63083.86</v>
      </c>
      <c r="N37" s="105" t="n">
        <f aca="false">N27-IF(N$6-Лаг_выручки&gt;=1,INDEX(Выручка!$H$36:$S$36,1,N$6-Лаг_выручки)-INDEX(Расходы!$H$19:$S$19,1,N$6-Лаг_выручки),0)</f>
        <v>34350.58</v>
      </c>
      <c r="O37" s="105" t="n">
        <f aca="false">O27-IF(O$6-Лаг_выручки&gt;=1,INDEX(Выручка!$H$36:$S$36,1,O$6-Лаг_выручки)-INDEX(Расходы!$H$19:$S$19,1,O$6-Лаг_выручки),0)</f>
        <v>18990.46</v>
      </c>
      <c r="P37" s="105" t="n">
        <f aca="false">P27-IF(P$6-Лаг_выручки&gt;=1,INDEX(Выручка!$H$36:$S$36,1,P$6-Лаг_выручки)-INDEX(Расходы!$H$19:$S$19,1,P$6-Лаг_выручки),0)</f>
        <v>18151.02</v>
      </c>
      <c r="Q37" s="105" t="n">
        <f aca="false">Q27-IF(Q$6-Лаг_выручки&gt;=1,INDEX(Выручка!$H$36:$S$36,1,Q$6-Лаг_выручки)-INDEX(Расходы!$H$19:$S$19,1,Q$6-Лаг_выручки),0)</f>
        <v>32401.54</v>
      </c>
      <c r="R37" s="105" t="n">
        <f aca="false">R27-IF(R$6-Лаг_выручки&gt;=1,INDEX(Выручка!$H$36:$S$36,1,R$6-Лаг_выручки)-INDEX(Расходы!$H$19:$S$19,1,R$6-Лаг_выручки),0)</f>
        <v>70615.62</v>
      </c>
      <c r="S37" s="105" t="n">
        <f aca="false">S27-IF(S$6-Лаг_выручки&gt;=1,INDEX(Выручка!$H$36:$S$36,1,S$6-Лаг_выручки)-INDEX(Расходы!$H$19:$S$19,1,S$6-Лаг_выручки),0)</f>
        <v>142133.14</v>
      </c>
    </row>
    <row r="38" customFormat="false" ht="14.25" hidden="false" customHeight="false" outlineLevel="0" collapsed="false">
      <c r="B38" s="15" t="s">
        <v>340</v>
      </c>
    </row>
    <row r="39" customFormat="false" ht="14.25" hidden="true" customHeight="false" outlineLevel="0" collapsed="false">
      <c r="B39" s="82" t="s">
        <v>341</v>
      </c>
      <c r="C39" s="27" t="s">
        <v>90</v>
      </c>
      <c r="D39" s="26"/>
      <c r="E39" s="26"/>
      <c r="F39" s="105" t="n">
        <f aca="false">MIN($H$39:$S$39)</f>
        <v>69242.96</v>
      </c>
      <c r="H39" s="105" t="n">
        <f aca="false">H27</f>
        <v>196000</v>
      </c>
      <c r="I39" s="105" t="n">
        <f aca="false">I27</f>
        <v>190000</v>
      </c>
      <c r="J39" s="105" t="n">
        <f aca="false">J27</f>
        <v>174000</v>
      </c>
      <c r="K39" s="105" t="n">
        <f aca="false">K27</f>
        <v>148000</v>
      </c>
      <c r="L39" s="105" t="n">
        <f aca="false">L27</f>
        <v>110906.36</v>
      </c>
      <c r="M39" s="105" t="n">
        <f aca="false">M27</f>
        <v>83388.08</v>
      </c>
      <c r="N39" s="105" t="n">
        <f aca="false">N27</f>
        <v>69242.96</v>
      </c>
      <c r="O39" s="105" t="n">
        <f aca="false">O27</f>
        <v>69618.52</v>
      </c>
      <c r="P39" s="105" t="n">
        <f aca="false">P27</f>
        <v>85691.54</v>
      </c>
      <c r="Q39" s="105" t="n">
        <f aca="false">Q27</f>
        <v>126335.62</v>
      </c>
      <c r="R39" s="105" t="n">
        <f aca="false">R27</f>
        <v>200283.14</v>
      </c>
      <c r="S39" s="105" t="n">
        <f aca="false">S27</f>
        <v>310635.14</v>
      </c>
    </row>
    <row r="40" customFormat="false" ht="14.25" hidden="true" customHeight="false" outlineLevel="0" collapsed="false">
      <c r="B40" s="15" t="s">
        <v>342</v>
      </c>
    </row>
  </sheetData>
  <conditionalFormatting sqref="H27:S27">
    <cfRule type="expression" priority="2" aboveAverage="0" equalAverage="0" bottom="0" percent="0" rank="0" text="" dxfId="5">
      <formula>H27&lt;0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B2:S2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7" ySplit="9" topLeftCell="H10" activePane="bottomRight" state="frozen"/>
      <selection pane="topLeft" activeCell="A1" activeCellId="0" sqref="A1"/>
      <selection pane="topRight" activeCell="H1" activeCellId="0" sqref="H1"/>
      <selection pane="bottomLeft" activeCell="A10" activeCellId="0" sqref="A10"/>
      <selection pane="bottomRight" activeCell="A1" activeCellId="0" sqref="A1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1" width="1.44"/>
    <col collapsed="false" customWidth="true" hidden="false" outlineLevel="0" max="2" min="2" style="1" width="46"/>
    <col collapsed="false" customWidth="true" hidden="false" outlineLevel="0" max="3" min="3" style="1" width="8"/>
    <col collapsed="false" customWidth="true" hidden="false" outlineLevel="0" max="6" min="4" style="1" width="13.44"/>
    <col collapsed="false" customWidth="true" hidden="false" outlineLevel="0" max="7" min="7" style="1" width="1.44"/>
    <col collapsed="false" customWidth="true" hidden="false" outlineLevel="0" max="19" min="8" style="1" width="11.44"/>
  </cols>
  <sheetData>
    <row r="2" customFormat="false" ht="24" hidden="false" customHeight="true" outlineLevel="0" collapsed="false">
      <c r="B2" s="16" t="s">
        <v>343</v>
      </c>
    </row>
    <row r="3" customFormat="false" ht="14.25" hidden="false" customHeight="false" outlineLevel="0" collapsed="false">
      <c r="B3" s="5" t="s">
        <v>344</v>
      </c>
    </row>
    <row r="5" customFormat="false" ht="30" hidden="false" customHeight="true" outlineLevel="0" collapsed="false">
      <c r="B5" s="62" t="s">
        <v>51</v>
      </c>
      <c r="C5" s="20" t="s">
        <v>128</v>
      </c>
      <c r="D5" s="55" t="str">
        <f aca="false">"Разработка"&amp;CHAR(10)&amp;"("&amp;Дев_мес&amp;" мес.)"</f>
        <v>Разработка
(4 мес.)</v>
      </c>
      <c r="E5" s="55" t="str">
        <f aca="false">"Операционка"&amp;CHAR(10)&amp;"("&amp;Опер_мес&amp;" мес.)"</f>
        <v>Операционка
(8 мес.)</v>
      </c>
      <c r="F5" s="55" t="str">
        <f aca="false">"Итого"&amp;CHAR(10)&amp;"12 мес."</f>
        <v>Итого
12 мес.</v>
      </c>
      <c r="G5" s="19"/>
      <c r="H5" s="20" t="str">
        <f aca="false">Выручка!H$5</f>
        <v>Сен 2026</v>
      </c>
      <c r="I5" s="20" t="str">
        <f aca="false">Выручка!I$5</f>
        <v>Окт 2026</v>
      </c>
      <c r="J5" s="20" t="str">
        <f aca="false">Выручка!J$5</f>
        <v>Ноя 2026</v>
      </c>
      <c r="K5" s="20" t="str">
        <f aca="false">Выручка!K$5</f>
        <v>Дек 2026</v>
      </c>
      <c r="L5" s="20" t="str">
        <f aca="false">Выручка!L$5</f>
        <v>Янв 2027</v>
      </c>
      <c r="M5" s="20" t="str">
        <f aca="false">Выручка!M$5</f>
        <v>Фев 2027</v>
      </c>
      <c r="N5" s="20" t="str">
        <f aca="false">Выручка!N$5</f>
        <v>Мар 2027</v>
      </c>
      <c r="O5" s="20" t="str">
        <f aca="false">Выручка!O$5</f>
        <v>Апр 2027</v>
      </c>
      <c r="P5" s="20" t="str">
        <f aca="false">Выручка!P$5</f>
        <v>Май 2027</v>
      </c>
      <c r="Q5" s="20" t="str">
        <f aca="false">Выручка!Q$5</f>
        <v>Июн 2027</v>
      </c>
      <c r="R5" s="20" t="str">
        <f aca="false">Выручка!R$5</f>
        <v>Июл 2027</v>
      </c>
      <c r="S5" s="20" t="str">
        <f aca="false">Выручка!S$5</f>
        <v>Авг 2027</v>
      </c>
    </row>
    <row r="6" customFormat="false" ht="14.25" hidden="false" customHeight="false" outlineLevel="0" collapsed="false">
      <c r="B6" s="44" t="s">
        <v>199</v>
      </c>
      <c r="H6" s="63" t="n">
        <f aca="false">Выручка!H$6</f>
        <v>1</v>
      </c>
      <c r="I6" s="63" t="n">
        <f aca="false">Выручка!I$6</f>
        <v>2</v>
      </c>
      <c r="J6" s="63" t="n">
        <f aca="false">Выручка!J$6</f>
        <v>3</v>
      </c>
      <c r="K6" s="63" t="n">
        <f aca="false">Выручка!K$6</f>
        <v>4</v>
      </c>
      <c r="L6" s="63" t="n">
        <f aca="false">Выручка!L$6</f>
        <v>5</v>
      </c>
      <c r="M6" s="63" t="n">
        <f aca="false">Выручка!M$6</f>
        <v>6</v>
      </c>
      <c r="N6" s="63" t="n">
        <f aca="false">Выручка!N$6</f>
        <v>7</v>
      </c>
      <c r="O6" s="63" t="n">
        <f aca="false">Выручка!O$6</f>
        <v>8</v>
      </c>
      <c r="P6" s="63" t="n">
        <f aca="false">Выручка!P$6</f>
        <v>9</v>
      </c>
      <c r="Q6" s="63" t="n">
        <f aca="false">Выручка!Q$6</f>
        <v>10</v>
      </c>
      <c r="R6" s="63" t="n">
        <f aca="false">Выручка!R$6</f>
        <v>11</v>
      </c>
      <c r="S6" s="63" t="n">
        <f aca="false">Выручка!S$6</f>
        <v>12</v>
      </c>
    </row>
    <row r="7" customFormat="false" ht="14.25" hidden="false" customHeight="false" outlineLevel="0" collapsed="false">
      <c r="B7" s="44" t="s">
        <v>200</v>
      </c>
      <c r="H7" s="64" t="n">
        <f aca="false">Выручка!H$7</f>
        <v>46266</v>
      </c>
      <c r="I7" s="64" t="n">
        <f aca="false">Выручка!I$7</f>
        <v>46296</v>
      </c>
      <c r="J7" s="64" t="n">
        <f aca="false">Выручка!J$7</f>
        <v>46327</v>
      </c>
      <c r="K7" s="64" t="n">
        <f aca="false">Выручка!K$7</f>
        <v>46357</v>
      </c>
      <c r="L7" s="64" t="n">
        <f aca="false">Выручка!L$7</f>
        <v>46388</v>
      </c>
      <c r="M7" s="64" t="n">
        <f aca="false">Выручка!M$7</f>
        <v>46419</v>
      </c>
      <c r="N7" s="64" t="n">
        <f aca="false">Выручка!N$7</f>
        <v>46447</v>
      </c>
      <c r="O7" s="64" t="n">
        <f aca="false">Выручка!O$7</f>
        <v>46478</v>
      </c>
      <c r="P7" s="64" t="n">
        <f aca="false">Выручка!P$7</f>
        <v>46508</v>
      </c>
      <c r="Q7" s="64" t="n">
        <f aca="false">Выручка!Q$7</f>
        <v>46539</v>
      </c>
      <c r="R7" s="64" t="n">
        <f aca="false">Выручка!R$7</f>
        <v>46569</v>
      </c>
      <c r="S7" s="64" t="n">
        <f aca="false">Выручка!S$7</f>
        <v>46600</v>
      </c>
    </row>
    <row r="8" customFormat="false" ht="14.25" hidden="false" customHeight="false" outlineLevel="0" collapsed="false">
      <c r="B8" s="44" t="s">
        <v>201</v>
      </c>
      <c r="H8" s="45" t="str">
        <f aca="false">Выручка!H$8</f>
        <v>Разработка</v>
      </c>
      <c r="I8" s="45" t="str">
        <f aca="false">Выручка!I$8</f>
        <v>Разработка</v>
      </c>
      <c r="J8" s="45" t="str">
        <f aca="false">Выручка!J$8</f>
        <v>Разработка</v>
      </c>
      <c r="K8" s="45" t="str">
        <f aca="false">Выручка!K$8</f>
        <v>Разработка</v>
      </c>
      <c r="L8" s="45" t="str">
        <f aca="false">Выручка!L$8</f>
        <v>Операционка</v>
      </c>
      <c r="M8" s="45" t="str">
        <f aca="false">Выручка!M$8</f>
        <v>Операционка</v>
      </c>
      <c r="N8" s="45" t="str">
        <f aca="false">Выручка!N$8</f>
        <v>Операционка</v>
      </c>
      <c r="O8" s="45" t="str">
        <f aca="false">Выручка!O$8</f>
        <v>Операционка</v>
      </c>
      <c r="P8" s="45" t="str">
        <f aca="false">Выручка!P$8</f>
        <v>Операционка</v>
      </c>
      <c r="Q8" s="45" t="str">
        <f aca="false">Выручка!Q$8</f>
        <v>Операционка</v>
      </c>
      <c r="R8" s="45" t="str">
        <f aca="false">Выручка!R$8</f>
        <v>Операционка</v>
      </c>
      <c r="S8" s="45" t="str">
        <f aca="false">Выручка!S$8</f>
        <v>Операционка</v>
      </c>
    </row>
    <row r="9" customFormat="false" ht="14.25" hidden="false" customHeight="false" outlineLevel="0" collapsed="false">
      <c r="B9" s="44" t="s">
        <v>202</v>
      </c>
      <c r="H9" s="63" t="n">
        <f aca="false">Выручка!H$9</f>
        <v>0</v>
      </c>
      <c r="I9" s="63" t="n">
        <f aca="false">Выручка!I$9</f>
        <v>0</v>
      </c>
      <c r="J9" s="63" t="n">
        <f aca="false">Выручка!J$9</f>
        <v>0</v>
      </c>
      <c r="K9" s="63" t="n">
        <f aca="false">Выручка!K$9</f>
        <v>0</v>
      </c>
      <c r="L9" s="63" t="n">
        <f aca="false">Выручка!L$9</f>
        <v>1</v>
      </c>
      <c r="M9" s="63" t="n">
        <f aca="false">Выручка!M$9</f>
        <v>2</v>
      </c>
      <c r="N9" s="63" t="n">
        <f aca="false">Выручка!N$9</f>
        <v>3</v>
      </c>
      <c r="O9" s="63" t="n">
        <f aca="false">Выручка!O$9</f>
        <v>4</v>
      </c>
      <c r="P9" s="63" t="n">
        <f aca="false">Выручка!P$9</f>
        <v>5</v>
      </c>
      <c r="Q9" s="63" t="n">
        <f aca="false">Выручка!Q$9</f>
        <v>6</v>
      </c>
      <c r="R9" s="63" t="n">
        <f aca="false">Выручка!R$9</f>
        <v>7</v>
      </c>
      <c r="S9" s="63" t="n">
        <f aca="false">Выручка!S$9</f>
        <v>8</v>
      </c>
    </row>
    <row r="11" customFormat="false" ht="16.5" hidden="false" customHeight="true" outlineLevel="0" collapsed="false">
      <c r="B11" s="6" t="s">
        <v>345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customFormat="false" ht="14.25" hidden="false" customHeight="false" outlineLevel="0" collapsed="false">
      <c r="B12" s="71" t="s">
        <v>346</v>
      </c>
      <c r="C12" s="27" t="s">
        <v>90</v>
      </c>
      <c r="D12" s="66" t="n">
        <f aca="false">INDEX($H$12:$S$12,1,Дев_мес)</f>
        <v>148000</v>
      </c>
      <c r="E12" s="66" t="n">
        <f aca="false">IF(Опер_мес&gt;0,S12,"")</f>
        <v>310635.14</v>
      </c>
      <c r="F12" s="67" t="n">
        <f aca="false">S12</f>
        <v>310635.14</v>
      </c>
      <c r="H12" s="98" t="n">
        <f aca="false">ДДС!H27</f>
        <v>196000</v>
      </c>
      <c r="I12" s="98" t="n">
        <f aca="false">ДДС!I27</f>
        <v>190000</v>
      </c>
      <c r="J12" s="98" t="n">
        <f aca="false">ДДС!J27</f>
        <v>174000</v>
      </c>
      <c r="K12" s="98" t="n">
        <f aca="false">ДДС!K27</f>
        <v>148000</v>
      </c>
      <c r="L12" s="98" t="n">
        <f aca="false">ДДС!L27</f>
        <v>110906.36</v>
      </c>
      <c r="M12" s="98" t="n">
        <f aca="false">ДДС!M27</f>
        <v>83388.08</v>
      </c>
      <c r="N12" s="98" t="n">
        <f aca="false">ДДС!N27</f>
        <v>69242.96</v>
      </c>
      <c r="O12" s="98" t="n">
        <f aca="false">ДДС!O27</f>
        <v>69618.52</v>
      </c>
      <c r="P12" s="98" t="n">
        <f aca="false">ДДС!P27</f>
        <v>85691.54</v>
      </c>
      <c r="Q12" s="98" t="n">
        <f aca="false">ДДС!Q27</f>
        <v>126335.62</v>
      </c>
      <c r="R12" s="98" t="n">
        <f aca="false">ДДС!R27</f>
        <v>200283.14</v>
      </c>
      <c r="S12" s="98" t="n">
        <f aca="false">ДДС!S27</f>
        <v>310635.14</v>
      </c>
    </row>
    <row r="13" customFormat="false" ht="14.25" hidden="false" customHeight="false" outlineLevel="0" collapsed="false">
      <c r="B13" s="71" t="s">
        <v>347</v>
      </c>
      <c r="C13" s="27" t="s">
        <v>90</v>
      </c>
      <c r="D13" s="66" t="n">
        <f aca="false">INDEX($H$13:$S$13,1,Дев_мес)</f>
        <v>0</v>
      </c>
      <c r="E13" s="66" t="n">
        <f aca="false">IF(Опер_мес&gt;0,S13,"")</f>
        <v>0</v>
      </c>
      <c r="F13" s="67" t="n">
        <f aca="false">S13</f>
        <v>0</v>
      </c>
      <c r="H13" s="66" t="n">
        <f aca="false">(Выручка!H36-Расходы!H19)-(ДДС!H12+ДДС!H19)</f>
        <v>0</v>
      </c>
      <c r="I13" s="66" t="n">
        <f aca="false">H13+(Выручка!I36-Расходы!I19)-(ДДС!I12+ДДС!I19)</f>
        <v>0</v>
      </c>
      <c r="J13" s="66" t="n">
        <f aca="false">I13+(Выручка!J36-Расходы!J19)-(ДДС!J12+ДДС!J19)</f>
        <v>0</v>
      </c>
      <c r="K13" s="66" t="n">
        <f aca="false">J13+(Выручка!K36-Расходы!K19)-(ДДС!K12+ДДС!K19)</f>
        <v>0</v>
      </c>
      <c r="L13" s="66" t="n">
        <f aca="false">K13+(Выручка!L36-Расходы!L19)-(ДДС!L12+ДДС!L19)</f>
        <v>0</v>
      </c>
      <c r="M13" s="66" t="n">
        <f aca="false">L13+(Выручка!M36-Расходы!M19)-(ДДС!M12+ДДС!M19)</f>
        <v>0</v>
      </c>
      <c r="N13" s="66" t="n">
        <f aca="false">M13+(Выручка!N36-Расходы!N19)-(ДДС!N12+ДДС!N19)</f>
        <v>0</v>
      </c>
      <c r="O13" s="66" t="n">
        <f aca="false">N13+(Выручка!O36-Расходы!O19)-(ДДС!O12+ДДС!O19)</f>
        <v>0</v>
      </c>
      <c r="P13" s="66" t="n">
        <f aca="false">O13+(Выручка!P36-Расходы!P19)-(ДДС!P12+ДДС!P19)</f>
        <v>0</v>
      </c>
      <c r="Q13" s="66" t="n">
        <f aca="false">P13+(Выручка!Q36-Расходы!Q19)-(ДДС!Q12+ДДС!Q19)</f>
        <v>0</v>
      </c>
      <c r="R13" s="66" t="n">
        <f aca="false">Q13+(Выручка!R36-Расходы!R19)-(ДДС!R12+ДДС!R19)</f>
        <v>0</v>
      </c>
      <c r="S13" s="66" t="n">
        <f aca="false">R13+(Выручка!S36-Расходы!S19)-(ДДС!S12+ДДС!S19)</f>
        <v>0</v>
      </c>
    </row>
    <row r="14" customFormat="false" ht="14.25" hidden="false" customHeight="false" outlineLevel="0" collapsed="false">
      <c r="B14" s="99" t="s">
        <v>348</v>
      </c>
      <c r="C14" s="100" t="s">
        <v>90</v>
      </c>
      <c r="D14" s="101" t="n">
        <f aca="false">INDEX($H$14:$S$14,1,Дев_мес)</f>
        <v>148000</v>
      </c>
      <c r="E14" s="101" t="n">
        <f aca="false">IF(Опер_мес&gt;0,S14,"")</f>
        <v>310635.14</v>
      </c>
      <c r="F14" s="101" t="n">
        <f aca="false">S14</f>
        <v>310635.14</v>
      </c>
      <c r="G14" s="102"/>
      <c r="H14" s="101" t="n">
        <f aca="false">H12+H13</f>
        <v>196000</v>
      </c>
      <c r="I14" s="101" t="n">
        <f aca="false">I12+I13</f>
        <v>190000</v>
      </c>
      <c r="J14" s="101" t="n">
        <f aca="false">J12+J13</f>
        <v>174000</v>
      </c>
      <c r="K14" s="101" t="n">
        <f aca="false">K12+K13</f>
        <v>148000</v>
      </c>
      <c r="L14" s="101" t="n">
        <f aca="false">L12+L13</f>
        <v>110906.36</v>
      </c>
      <c r="M14" s="101" t="n">
        <f aca="false">M12+M13</f>
        <v>83388.08</v>
      </c>
      <c r="N14" s="101" t="n">
        <f aca="false">N12+N13</f>
        <v>69242.96</v>
      </c>
      <c r="O14" s="101" t="n">
        <f aca="false">O12+O13</f>
        <v>69618.52</v>
      </c>
      <c r="P14" s="101" t="n">
        <f aca="false">P12+P13</f>
        <v>85691.54</v>
      </c>
      <c r="Q14" s="101" t="n">
        <f aca="false">Q12+Q13</f>
        <v>126335.62</v>
      </c>
      <c r="R14" s="101" t="n">
        <f aca="false">R12+R13</f>
        <v>200283.14</v>
      </c>
      <c r="S14" s="101" t="n">
        <f aca="false">S12+S13</f>
        <v>310635.14</v>
      </c>
    </row>
    <row r="16" customFormat="false" ht="16.5" hidden="true" customHeight="true" outlineLevel="0" collapsed="false">
      <c r="B16" s="6" t="s">
        <v>349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customFormat="false" ht="14.25" hidden="true" customHeight="false" outlineLevel="0" collapsed="false">
      <c r="B17" s="71" t="s">
        <v>350</v>
      </c>
      <c r="C17" s="27" t="s">
        <v>90</v>
      </c>
      <c r="D17" s="66" t="n">
        <f aca="false">INDEX($H$17:$S$17,1,Дев_мес)</f>
        <v>0</v>
      </c>
      <c r="E17" s="66" t="n">
        <f aca="false">IF(Опер_мес&gt;0,S17,"")</f>
        <v>0</v>
      </c>
      <c r="F17" s="67" t="n">
        <f aca="false">S17</f>
        <v>0</v>
      </c>
      <c r="H17" s="98" t="n">
        <f aca="false">0</f>
        <v>0</v>
      </c>
      <c r="I17" s="98" t="n">
        <f aca="false">0</f>
        <v>0</v>
      </c>
      <c r="J17" s="98" t="n">
        <f aca="false">0</f>
        <v>0</v>
      </c>
      <c r="K17" s="98" t="n">
        <f aca="false">0</f>
        <v>0</v>
      </c>
      <c r="L17" s="98" t="n">
        <f aca="false">0</f>
        <v>0</v>
      </c>
      <c r="M17" s="98" t="n">
        <f aca="false">0</f>
        <v>0</v>
      </c>
      <c r="N17" s="98" t="n">
        <f aca="false">0</f>
        <v>0</v>
      </c>
      <c r="O17" s="98" t="n">
        <f aca="false">0</f>
        <v>0</v>
      </c>
      <c r="P17" s="98" t="n">
        <f aca="false">0</f>
        <v>0</v>
      </c>
      <c r="Q17" s="98" t="n">
        <f aca="false">0</f>
        <v>0</v>
      </c>
      <c r="R17" s="98" t="n">
        <f aca="false">0</f>
        <v>0</v>
      </c>
      <c r="S17" s="98" t="n">
        <f aca="false">0</f>
        <v>0</v>
      </c>
    </row>
    <row r="18" customFormat="false" ht="16.5" hidden="false" customHeight="true" outlineLevel="0" collapsed="false">
      <c r="B18" s="6" t="s">
        <v>351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customFormat="false" ht="14.25" hidden="false" customHeight="false" outlineLevel="0" collapsed="false">
      <c r="B19" s="71" t="s">
        <v>352</v>
      </c>
      <c r="C19" s="27" t="s">
        <v>90</v>
      </c>
      <c r="D19" s="66" t="n">
        <f aca="false">INDEX($H$19:$S$19,1,Дев_мес)</f>
        <v>200000</v>
      </c>
      <c r="E19" s="66" t="n">
        <f aca="false">IF(Опер_мес&gt;0,S19,"")</f>
        <v>200000</v>
      </c>
      <c r="F19" s="67" t="n">
        <f aca="false">S19</f>
        <v>200000</v>
      </c>
      <c r="H19" s="66" t="n">
        <f aca="false">ДДС!H13</f>
        <v>200000</v>
      </c>
      <c r="I19" s="66" t="n">
        <f aca="false">H19+ДДС!I13</f>
        <v>200000</v>
      </c>
      <c r="J19" s="66" t="n">
        <f aca="false">I19+ДДС!J13</f>
        <v>200000</v>
      </c>
      <c r="K19" s="66" t="n">
        <f aca="false">J19+ДДС!K13</f>
        <v>200000</v>
      </c>
      <c r="L19" s="66" t="n">
        <f aca="false">K19+ДДС!L13</f>
        <v>200000</v>
      </c>
      <c r="M19" s="66" t="n">
        <f aca="false">L19+ДДС!M13</f>
        <v>200000</v>
      </c>
      <c r="N19" s="66" t="n">
        <f aca="false">M19+ДДС!N13</f>
        <v>200000</v>
      </c>
      <c r="O19" s="66" t="n">
        <f aca="false">N19+ДДС!O13</f>
        <v>200000</v>
      </c>
      <c r="P19" s="66" t="n">
        <f aca="false">O19+ДДС!P13</f>
        <v>200000</v>
      </c>
      <c r="Q19" s="66" t="n">
        <f aca="false">P19+ДДС!Q13</f>
        <v>200000</v>
      </c>
      <c r="R19" s="66" t="n">
        <f aca="false">Q19+ДДС!R13</f>
        <v>200000</v>
      </c>
      <c r="S19" s="66" t="n">
        <f aca="false">R19+ДДС!S13</f>
        <v>200000</v>
      </c>
    </row>
    <row r="20" customFormat="false" ht="14.25" hidden="false" customHeight="false" outlineLevel="0" collapsed="false">
      <c r="B20" s="71" t="s">
        <v>353</v>
      </c>
      <c r="C20" s="27" t="s">
        <v>90</v>
      </c>
      <c r="D20" s="66" t="n">
        <f aca="false">INDEX($H$20:$S$20,1,Дев_мес)</f>
        <v>-52000</v>
      </c>
      <c r="E20" s="66" t="n">
        <f aca="false">IF(Опер_мес&gt;0,S20,"")</f>
        <v>110635.14</v>
      </c>
      <c r="F20" s="67" t="n">
        <f aca="false">S20</f>
        <v>110635.14</v>
      </c>
      <c r="H20" s="98" t="n">
        <f aca="false">ОПиУ!H33</f>
        <v>-4000</v>
      </c>
      <c r="I20" s="98" t="n">
        <f aca="false">ОПиУ!I33</f>
        <v>-10000</v>
      </c>
      <c r="J20" s="98" t="n">
        <f aca="false">ОПиУ!J33</f>
        <v>-26000</v>
      </c>
      <c r="K20" s="98" t="n">
        <f aca="false">ОПиУ!K33</f>
        <v>-52000</v>
      </c>
      <c r="L20" s="98" t="n">
        <f aca="false">ОПиУ!L33</f>
        <v>-89093.64</v>
      </c>
      <c r="M20" s="98" t="n">
        <f aca="false">ОПиУ!M33</f>
        <v>-116611.92</v>
      </c>
      <c r="N20" s="98" t="n">
        <f aca="false">ОПиУ!N33</f>
        <v>-130757.04</v>
      </c>
      <c r="O20" s="98" t="n">
        <f aca="false">ОПиУ!O33</f>
        <v>-130381.48</v>
      </c>
      <c r="P20" s="98" t="n">
        <f aca="false">ОПиУ!P33</f>
        <v>-114308.46</v>
      </c>
      <c r="Q20" s="98" t="n">
        <f aca="false">ОПиУ!Q33</f>
        <v>-73664.38</v>
      </c>
      <c r="R20" s="98" t="n">
        <f aca="false">ОПиУ!R33</f>
        <v>283.140000000029</v>
      </c>
      <c r="S20" s="98" t="n">
        <f aca="false">ОПиУ!S33</f>
        <v>110635.14</v>
      </c>
    </row>
    <row r="21" customFormat="false" ht="14.25" hidden="false" customHeight="false" outlineLevel="0" collapsed="false">
      <c r="B21" s="68" t="s">
        <v>354</v>
      </c>
      <c r="C21" s="69" t="s">
        <v>90</v>
      </c>
      <c r="D21" s="70" t="n">
        <f aca="false">INDEX($H$21:$S$21,1,Дев_мес)</f>
        <v>148000</v>
      </c>
      <c r="E21" s="70" t="n">
        <f aca="false">IF(Опер_мес&gt;0,S21,"")</f>
        <v>310635.14</v>
      </c>
      <c r="F21" s="70" t="n">
        <f aca="false">S21</f>
        <v>310635.14</v>
      </c>
      <c r="H21" s="70" t="n">
        <f aca="false">H19+H20</f>
        <v>196000</v>
      </c>
      <c r="I21" s="70" t="n">
        <f aca="false">I19+I20</f>
        <v>190000</v>
      </c>
      <c r="J21" s="70" t="n">
        <f aca="false">J19+J20</f>
        <v>174000</v>
      </c>
      <c r="K21" s="70" t="n">
        <f aca="false">K19+K20</f>
        <v>148000</v>
      </c>
      <c r="L21" s="70" t="n">
        <f aca="false">L19+L20</f>
        <v>110906.36</v>
      </c>
      <c r="M21" s="70" t="n">
        <f aca="false">M19+M20</f>
        <v>83388.08</v>
      </c>
      <c r="N21" s="70" t="n">
        <f aca="false">N19+N20</f>
        <v>69242.96</v>
      </c>
      <c r="O21" s="70" t="n">
        <f aca="false">O19+O20</f>
        <v>69618.52</v>
      </c>
      <c r="P21" s="70" t="n">
        <f aca="false">P19+P20</f>
        <v>85691.54</v>
      </c>
      <c r="Q21" s="70" t="n">
        <f aca="false">Q19+Q20</f>
        <v>126335.62</v>
      </c>
      <c r="R21" s="70" t="n">
        <f aca="false">R19+R20</f>
        <v>200283.14</v>
      </c>
      <c r="S21" s="70" t="n">
        <f aca="false">S19+S20</f>
        <v>310635.14</v>
      </c>
    </row>
    <row r="22" customFormat="false" ht="14.25" hidden="false" customHeight="false" outlineLevel="0" collapsed="false">
      <c r="B22" s="99" t="s">
        <v>355</v>
      </c>
      <c r="C22" s="100" t="s">
        <v>90</v>
      </c>
      <c r="D22" s="101" t="n">
        <f aca="false">INDEX($H$22:$S$22,1,Дев_мес)</f>
        <v>148000</v>
      </c>
      <c r="E22" s="101" t="n">
        <f aca="false">IF(Опер_мес&gt;0,S22,"")</f>
        <v>310635.14</v>
      </c>
      <c r="F22" s="101" t="n">
        <f aca="false">S22</f>
        <v>310635.14</v>
      </c>
      <c r="G22" s="102"/>
      <c r="H22" s="101" t="n">
        <f aca="false">H17+H21</f>
        <v>196000</v>
      </c>
      <c r="I22" s="101" t="n">
        <f aca="false">I17+I21</f>
        <v>190000</v>
      </c>
      <c r="J22" s="101" t="n">
        <f aca="false">J17+J21</f>
        <v>174000</v>
      </c>
      <c r="K22" s="101" t="n">
        <f aca="false">K17+K21</f>
        <v>148000</v>
      </c>
      <c r="L22" s="101" t="n">
        <f aca="false">L17+L21</f>
        <v>110906.36</v>
      </c>
      <c r="M22" s="101" t="n">
        <f aca="false">M17+M21</f>
        <v>83388.08</v>
      </c>
      <c r="N22" s="101" t="n">
        <f aca="false">N17+N21</f>
        <v>69242.96</v>
      </c>
      <c r="O22" s="101" t="n">
        <f aca="false">O17+O21</f>
        <v>69618.52</v>
      </c>
      <c r="P22" s="101" t="n">
        <f aca="false">P17+P21</f>
        <v>85691.54</v>
      </c>
      <c r="Q22" s="101" t="n">
        <f aca="false">Q17+Q21</f>
        <v>126335.62</v>
      </c>
      <c r="R22" s="101" t="n">
        <f aca="false">R17+R21</f>
        <v>200283.14</v>
      </c>
      <c r="S22" s="101" t="n">
        <f aca="false">S17+S21</f>
        <v>310635.14</v>
      </c>
    </row>
    <row r="24" customFormat="false" ht="14.25" hidden="false" customHeight="false" outlineLevel="0" collapsed="false">
      <c r="B24" s="68" t="s">
        <v>356</v>
      </c>
      <c r="C24" s="69" t="s">
        <v>90</v>
      </c>
      <c r="D24" s="106"/>
      <c r="E24" s="106"/>
      <c r="F24" s="70" t="n">
        <f aca="false">SUMPRODUCT(ABS($H$24:$S$24))</f>
        <v>0</v>
      </c>
      <c r="H24" s="70" t="n">
        <f aca="false">ROUND(H14-H22,2)</f>
        <v>0</v>
      </c>
      <c r="I24" s="70" t="n">
        <f aca="false">ROUND(I14-I22,2)</f>
        <v>0</v>
      </c>
      <c r="J24" s="70" t="n">
        <f aca="false">ROUND(J14-J22,2)</f>
        <v>0</v>
      </c>
      <c r="K24" s="70" t="n">
        <f aca="false">ROUND(K14-K22,2)</f>
        <v>0</v>
      </c>
      <c r="L24" s="70" t="n">
        <f aca="false">ROUND(L14-L22,2)</f>
        <v>0</v>
      </c>
      <c r="M24" s="70" t="n">
        <f aca="false">ROUND(M14-M22,2)</f>
        <v>0</v>
      </c>
      <c r="N24" s="70" t="n">
        <f aca="false">ROUND(N14-N22,2)</f>
        <v>0</v>
      </c>
      <c r="O24" s="70" t="n">
        <f aca="false">ROUND(O14-O22,2)</f>
        <v>0</v>
      </c>
      <c r="P24" s="70" t="n">
        <f aca="false">ROUND(P14-P22,2)</f>
        <v>0</v>
      </c>
      <c r="Q24" s="70" t="n">
        <f aca="false">ROUND(Q14-Q22,2)</f>
        <v>0</v>
      </c>
      <c r="R24" s="70" t="n">
        <f aca="false">ROUND(R14-R22,2)</f>
        <v>0</v>
      </c>
      <c r="S24" s="70" t="n">
        <f aca="false">ROUND(S14-S22,2)</f>
        <v>0</v>
      </c>
    </row>
  </sheetData>
  <conditionalFormatting sqref="H24:S24">
    <cfRule type="cellIs" priority="2" operator="equal" aboveAverage="0" equalAverage="0" bottom="0" percent="0" rank="0" text="" dxfId="6">
      <formula>0</formula>
    </cfRule>
    <cfRule type="cellIs" priority="3" operator="notEqual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B2:S13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87" activePane="bottomRight" state="frozen"/>
      <selection pane="topLeft" activeCell="A1" activeCellId="0" sqref="A1"/>
      <selection pane="topRight" activeCell="C1" activeCellId="0" sqref="C1"/>
      <selection pane="bottomLeft" activeCell="A87" activeCellId="0" sqref="A87"/>
      <selection pane="bottomRight" activeCell="G111" activeCellId="0" sqref="G111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1" width="1.44"/>
    <col collapsed="false" customWidth="true" hidden="false" outlineLevel="0" max="2" min="2" style="1" width="54"/>
    <col collapsed="false" customWidth="true" hidden="false" outlineLevel="0" max="3" min="3" style="1" width="8"/>
    <col collapsed="false" customWidth="true" hidden="false" outlineLevel="0" max="8" min="4" style="1" width="15.44"/>
    <col collapsed="false" customWidth="true" hidden="false" outlineLevel="0" max="19" min="9" style="1" width="11.44"/>
  </cols>
  <sheetData>
    <row r="2" customFormat="false" ht="24" hidden="false" customHeight="true" outlineLevel="0" collapsed="false">
      <c r="B2" s="16" t="s">
        <v>357</v>
      </c>
    </row>
    <row r="3" customFormat="false" ht="14.25" hidden="false" customHeight="false" outlineLevel="0" collapsed="false">
      <c r="B3" s="5" t="s">
        <v>358</v>
      </c>
    </row>
    <row r="5" customFormat="false" ht="30" hidden="false" customHeight="true" outlineLevel="0" collapsed="false">
      <c r="B5" s="62" t="s">
        <v>359</v>
      </c>
      <c r="C5" s="55" t="s">
        <v>128</v>
      </c>
      <c r="D5" s="55" t="str">
        <f aca="false">Допущения!$E$80</f>
        <v>Оптимистичный</v>
      </c>
      <c r="E5" s="55" t="str">
        <f aca="false">Допущения!$F$80</f>
        <v>Базовый</v>
      </c>
      <c r="F5" s="55" t="str">
        <f aca="false">Допущения!$G$80</f>
        <v>Пессимистичный</v>
      </c>
      <c r="G5" s="55" t="str">
        <f aca="false">Допущения!$H$80</f>
        <v>Пессимистичный + меры</v>
      </c>
      <c r="H5" s="55" t="s">
        <v>360</v>
      </c>
    </row>
    <row r="6" customFormat="false" ht="14.25" hidden="false" customHeight="false" outlineLevel="0" collapsed="false">
      <c r="B6" s="107" t="s">
        <v>361</v>
      </c>
      <c r="C6" s="108" t="s">
        <v>106</v>
      </c>
      <c r="D6" s="109" t="n">
        <f aca="false">Допущения!$E$81</f>
        <v>0.25</v>
      </c>
      <c r="E6" s="109" t="n">
        <f aca="false">Допущения!$F$81</f>
        <v>0.5</v>
      </c>
      <c r="F6" s="109" t="n">
        <f aca="false">Допущения!$G$81</f>
        <v>0.25</v>
      </c>
      <c r="G6" s="109" t="n">
        <f aca="false">Допущения!$H$81</f>
        <v>0</v>
      </c>
      <c r="H6" s="110" t="n">
        <f aca="false">SUM(D6:G6)</f>
        <v>1</v>
      </c>
    </row>
    <row r="7" customFormat="false" ht="14.25" hidden="false" customHeight="false" outlineLevel="0" collapsed="false">
      <c r="B7" s="107" t="s">
        <v>362</v>
      </c>
      <c r="C7" s="108" t="s">
        <v>87</v>
      </c>
      <c r="D7" s="111" t="n">
        <f aca="false">S43</f>
        <v>28000</v>
      </c>
      <c r="E7" s="111" t="n">
        <f aca="false">S62</f>
        <v>20000</v>
      </c>
      <c r="F7" s="111" t="n">
        <f aca="false">S81</f>
        <v>12000</v>
      </c>
      <c r="G7" s="111" t="n">
        <f aca="false">S100</f>
        <v>12000</v>
      </c>
      <c r="H7" s="112" t="n">
        <f aca="false">SUMPRODUCT(Допущения!$E$81:$H$81,D7:G7)</f>
        <v>20000</v>
      </c>
    </row>
    <row r="8" customFormat="false" ht="14.25" hidden="false" customHeight="false" outlineLevel="0" collapsed="false">
      <c r="B8" s="107" t="s">
        <v>295</v>
      </c>
      <c r="C8" s="108" t="s">
        <v>90</v>
      </c>
      <c r="D8" s="111" t="n">
        <f aca="false">F46</f>
        <v>856656.05</v>
      </c>
      <c r="E8" s="111" t="n">
        <f aca="false">F65</f>
        <v>612516.15</v>
      </c>
      <c r="F8" s="111" t="n">
        <f aca="false">F84</f>
        <v>367399.45</v>
      </c>
      <c r="G8" s="111" t="n">
        <f aca="false">F103</f>
        <v>367399.45</v>
      </c>
      <c r="H8" s="112" t="n">
        <f aca="false">SUMPRODUCT(Допущения!$E$81:$H$81,D8:G8)</f>
        <v>612271.95</v>
      </c>
    </row>
    <row r="9" customFormat="false" ht="14.25" hidden="false" customHeight="false" outlineLevel="0" collapsed="false">
      <c r="B9" s="107" t="s">
        <v>48</v>
      </c>
      <c r="C9" s="108" t="s">
        <v>90</v>
      </c>
      <c r="D9" s="111" t="n">
        <f aca="false">F49</f>
        <v>242152.62</v>
      </c>
      <c r="E9" s="111" t="n">
        <f aca="false">F68</f>
        <v>110635.14</v>
      </c>
      <c r="F9" s="111" t="n">
        <f aca="false">F87</f>
        <v>-61712.62</v>
      </c>
      <c r="G9" s="111" t="n">
        <f aca="false">F106</f>
        <v>-21712.62</v>
      </c>
      <c r="H9" s="112" t="n">
        <f aca="false">SUMPRODUCT(Допущения!$E$81:$H$81,D9:G9)</f>
        <v>100427.57</v>
      </c>
    </row>
    <row r="10" customFormat="false" ht="14.25" hidden="false" customHeight="false" outlineLevel="0" collapsed="false">
      <c r="B10" s="113" t="s">
        <v>12</v>
      </c>
      <c r="C10" s="108" t="s">
        <v>90</v>
      </c>
      <c r="D10" s="114" t="n">
        <f aca="false">F54</f>
        <v>242152.62</v>
      </c>
      <c r="E10" s="114" t="n">
        <f aca="false">F73</f>
        <v>110635.14</v>
      </c>
      <c r="F10" s="114" t="n">
        <f aca="false">F92</f>
        <v>-61712.62</v>
      </c>
      <c r="G10" s="114" t="n">
        <f aca="false">F111</f>
        <v>-21712.62</v>
      </c>
      <c r="H10" s="112" t="n">
        <f aca="false">SUMPRODUCT(Допущения!$E$81:$H$81,D10:G10)</f>
        <v>100427.57</v>
      </c>
    </row>
    <row r="11" customFormat="false" ht="14.25" hidden="false" customHeight="false" outlineLevel="0" collapsed="false">
      <c r="B11" s="107" t="s">
        <v>307</v>
      </c>
      <c r="C11" s="108" t="s">
        <v>106</v>
      </c>
      <c r="D11" s="115" t="n">
        <f aca="false">IFERROR(F54/F46,0)</f>
        <v>0.282671931167707</v>
      </c>
      <c r="E11" s="115" t="n">
        <f aca="false">IFERROR(F73/F65,0)</f>
        <v>0.18062403742334</v>
      </c>
      <c r="F11" s="115" t="n">
        <f aca="false">IFERROR(F92/F84,0)</f>
        <v>-0.167971454502722</v>
      </c>
      <c r="G11" s="115" t="n">
        <f aca="false">IFERROR(F111/F103,0)</f>
        <v>-0.0590981287533229</v>
      </c>
      <c r="H11" s="116"/>
    </row>
    <row r="12" customFormat="false" ht="14.25" hidden="false" customHeight="false" outlineLevel="0" collapsed="false">
      <c r="B12" s="107" t="s">
        <v>13</v>
      </c>
      <c r="C12" s="108" t="s">
        <v>106</v>
      </c>
      <c r="D12" s="115" t="n">
        <f aca="false">IFERROR(F54/Собств_капитал,0)</f>
        <v>1.2107631</v>
      </c>
      <c r="E12" s="115" t="n">
        <f aca="false">IFERROR(F73/Собств_капитал,0)</f>
        <v>0.5531757</v>
      </c>
      <c r="F12" s="115" t="n">
        <f aca="false">IFERROR(F92/Собств_капитал,0)</f>
        <v>-0.3085631</v>
      </c>
      <c r="G12" s="115" t="n">
        <f aca="false">IFERROR(F111/Собств_капитал,0)</f>
        <v>-0.1085631</v>
      </c>
      <c r="H12" s="117" t="n">
        <f aca="false">SUMPRODUCT(Допущения!$E$81:$H$81,D12:G12)</f>
        <v>0.50213785</v>
      </c>
    </row>
    <row r="13" customFormat="false" ht="14.25" hidden="false" customHeight="false" outlineLevel="0" collapsed="false">
      <c r="B13" s="107" t="s">
        <v>363</v>
      </c>
      <c r="C13" s="108" t="s">
        <v>90</v>
      </c>
      <c r="D13" s="111" t="n">
        <f aca="false">S57</f>
        <v>442152.62</v>
      </c>
      <c r="E13" s="111" t="n">
        <f aca="false">S76</f>
        <v>310635.14</v>
      </c>
      <c r="F13" s="111" t="n">
        <f aca="false">S95</f>
        <v>138287.38</v>
      </c>
      <c r="G13" s="111" t="n">
        <f aca="false">S114</f>
        <v>178287.38</v>
      </c>
      <c r="H13" s="112" t="n">
        <f aca="false">SUMPRODUCT(Допущения!$E$81:$H$81,D13:G13)</f>
        <v>300427.57</v>
      </c>
    </row>
    <row r="14" customFormat="false" ht="14.25" hidden="false" customHeight="false" outlineLevel="0" collapsed="false">
      <c r="B14" s="107" t="s">
        <v>364</v>
      </c>
      <c r="C14" s="108" t="s">
        <v>90</v>
      </c>
      <c r="D14" s="111" t="n">
        <f aca="false">MIN($H$57:$S$57)</f>
        <v>62561.18</v>
      </c>
      <c r="E14" s="111" t="n">
        <f aca="false">MIN($H$76:$S$76)</f>
        <v>69242.96</v>
      </c>
      <c r="F14" s="111" t="n">
        <f aca="false">MIN($H$95:$S$95)</f>
        <v>43522.92</v>
      </c>
      <c r="G14" s="111" t="n">
        <f aca="false">MIN($H$114:$S$114)</f>
        <v>67339.56</v>
      </c>
      <c r="H14" s="116"/>
    </row>
    <row r="15" customFormat="false" ht="14.25" hidden="false" customHeight="false" outlineLevel="0" collapsed="false">
      <c r="B15" s="107" t="s">
        <v>15</v>
      </c>
      <c r="C15" s="108" t="s">
        <v>74</v>
      </c>
      <c r="D15" s="118" t="n">
        <f aca="false">IF(COUNT($H$59:$S$59)=0,"за горизонтом",MIN($H$59:$S$59))</f>
        <v>10.2922729893042</v>
      </c>
      <c r="E15" s="118" t="n">
        <f aca="false">IF(COUNT($H$78:$S$78)=0,"за горизонтом",MIN($H$78:$S$78))</f>
        <v>10.9961710683468</v>
      </c>
      <c r="F15" s="118" t="str">
        <f aca="false">IF(COUNT($H$97:$S$97)=0,"за горизонтом",MIN($H$97:$S$97))</f>
        <v>за горизонтом</v>
      </c>
      <c r="G15" s="118" t="str">
        <f aca="false">IF(COUNT($H$116:$S$116)=0,"за горизонтом",MIN($H$116:$S$116))</f>
        <v>за горизонтом</v>
      </c>
      <c r="H15" s="116"/>
    </row>
    <row r="16" customFormat="false" ht="14.25" hidden="false" customHeight="false" outlineLevel="0" collapsed="false">
      <c r="B16" s="107" t="s">
        <v>365</v>
      </c>
      <c r="C16" s="108" t="s">
        <v>90</v>
      </c>
      <c r="D16" s="111" t="n">
        <f aca="false">S58</f>
        <v>242152.62</v>
      </c>
      <c r="E16" s="111" t="n">
        <f aca="false">S77</f>
        <v>110635.14</v>
      </c>
      <c r="F16" s="111" t="n">
        <f aca="false">S96</f>
        <v>-61712.62</v>
      </c>
      <c r="G16" s="111" t="n">
        <f aca="false">S115</f>
        <v>-21712.62</v>
      </c>
      <c r="H16" s="116"/>
    </row>
    <row r="17" customFormat="false" ht="14.25" hidden="false" customHeight="false" outlineLevel="0" collapsed="false">
      <c r="B17" s="107" t="s">
        <v>366</v>
      </c>
      <c r="C17" s="108" t="s">
        <v>90</v>
      </c>
      <c r="D17" s="111" t="n">
        <f aca="false">IFERROR(F54/Участников,0)</f>
        <v>60538.155</v>
      </c>
      <c r="E17" s="111" t="n">
        <f aca="false">IFERROR(F73/Участников,0)</f>
        <v>27658.785</v>
      </c>
      <c r="F17" s="111" t="n">
        <f aca="false">IFERROR(F92/Участников,0)</f>
        <v>-15428.155</v>
      </c>
      <c r="G17" s="111" t="n">
        <f aca="false">IFERROR(F111/Участников,0)</f>
        <v>-5428.155</v>
      </c>
      <c r="H17" s="112" t="n">
        <f aca="false">SUMPRODUCT(Допущения!$E$81:$H$81,D17:G17)</f>
        <v>25106.8925</v>
      </c>
    </row>
    <row r="19" customFormat="false" ht="14.25" hidden="false" customHeight="false" outlineLevel="0" collapsed="false">
      <c r="B19" s="7" t="s">
        <v>367</v>
      </c>
    </row>
    <row r="20" customFormat="false" ht="14.25" hidden="false" customHeight="false" outlineLevel="0" collapsed="false">
      <c r="B20" s="26" t="s">
        <v>368</v>
      </c>
      <c r="C20" s="27" t="s">
        <v>90</v>
      </c>
      <c r="D20" s="119" t="n">
        <v>1400000</v>
      </c>
      <c r="E20" s="119" t="n">
        <v>984227</v>
      </c>
      <c r="F20" s="119" t="n">
        <v>600000</v>
      </c>
    </row>
    <row r="21" customFormat="false" ht="14.25" hidden="false" customHeight="false" outlineLevel="0" collapsed="false">
      <c r="B21" s="26" t="s">
        <v>369</v>
      </c>
      <c r="C21" s="27" t="s">
        <v>90</v>
      </c>
      <c r="D21" s="119" t="n">
        <v>600000</v>
      </c>
      <c r="E21" s="119" t="n">
        <v>383625</v>
      </c>
      <c r="F21" s="119" t="n">
        <v>150000</v>
      </c>
    </row>
    <row r="22" customFormat="false" ht="14.25" hidden="false" customHeight="false" outlineLevel="0" collapsed="false">
      <c r="B22" s="26" t="s">
        <v>370</v>
      </c>
      <c r="C22" s="27" t="s">
        <v>106</v>
      </c>
      <c r="D22" s="120" t="n">
        <v>3</v>
      </c>
      <c r="E22" s="120" t="n">
        <v>1.92</v>
      </c>
      <c r="F22" s="120" t="n">
        <v>0.75</v>
      </c>
    </row>
    <row r="23" customFormat="false" ht="14.25" hidden="false" customHeight="false" outlineLevel="0" collapsed="false">
      <c r="B23" s="26" t="s">
        <v>371</v>
      </c>
      <c r="C23" s="27"/>
      <c r="D23" s="121" t="s">
        <v>372</v>
      </c>
      <c r="E23" s="121" t="s">
        <v>373</v>
      </c>
      <c r="F23" s="121" t="s">
        <v>374</v>
      </c>
    </row>
    <row r="24" customFormat="false" ht="14.25" hidden="false" customHeight="false" outlineLevel="0" collapsed="false">
      <c r="B24" s="15" t="str">
        <f aca="false">"docx считал сценарии «на глаз». Модель считает их полной логикой: при MAU на "&amp;(FIXED((1-Допущения!$G$82)*100,0))&amp;"% ниже плана и тех же расходах чистая прибыль "&amp;(FIXED(F10,0))&amp;" ₽ (в docx около +150 000 ₽). С маркетингом "&amp;(FIXED(Допущения!$H$85,0))&amp;" ₽/мес: "&amp;(FIXED(G10,0))&amp;" ₽, если MAU при этом удержится (модель не связывает MAU с бюджетом)."</f>
        <v>docx считал сценарии «на глаз». Модель считает их полной логикой: при MAU на 40% ниже плана и тех же расходах чистая прибыль -61,713 ₽ (в docx около +150 000 ₽). С маркетингом 20,000 ₽/мес: -21,713 ₽, если MAU при этом удержится (модель не связывает MAU с бюджетом).</v>
      </c>
    </row>
    <row r="26" customFormat="false" ht="14.25" hidden="false" customHeight="false" outlineLevel="0" collapsed="false">
      <c r="B26" s="7" t="str">
        <f aca="false">"Стресс-тест: релиз позже на "&amp;Стресс_задержка&amp;" мес. (сценарий «"&amp;Сценарий&amp;"»)"</f>
        <v>Стресс-тест: релиз позже на 2 мес. (сценарий «Базовый»)</v>
      </c>
    </row>
    <row r="27" customFormat="false" ht="14.25" hidden="false" customHeight="false" outlineLevel="0" collapsed="false">
      <c r="B27" s="122" t="s">
        <v>375</v>
      </c>
      <c r="C27" s="27" t="s">
        <v>90</v>
      </c>
      <c r="D27" s="36" t="n">
        <f aca="false">F128</f>
        <v>-81664.38</v>
      </c>
    </row>
    <row r="28" customFormat="false" ht="14.25" hidden="false" customHeight="false" outlineLevel="0" collapsed="false">
      <c r="B28" s="122" t="s">
        <v>376</v>
      </c>
      <c r="C28" s="27" t="s">
        <v>90</v>
      </c>
      <c r="D28" s="36" t="n">
        <f aca="false">F128-ОПиУ!$F$31</f>
        <v>-192299.52</v>
      </c>
    </row>
    <row r="29" customFormat="false" ht="14.25" hidden="false" customHeight="false" outlineLevel="0" collapsed="false">
      <c r="B29" s="122" t="s">
        <v>364</v>
      </c>
      <c r="C29" s="27" t="s">
        <v>90</v>
      </c>
      <c r="D29" s="36" t="n">
        <f aca="false">MIN($H$131:$S$131)</f>
        <v>61242.96</v>
      </c>
    </row>
    <row r="34" customFormat="false" ht="14.25" hidden="false" customHeight="false" outlineLevel="0" collapsed="false">
      <c r="B34" s="6" t="s">
        <v>377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  <row r="36" customFormat="false" ht="30" hidden="false" customHeight="true" outlineLevel="0" collapsed="false">
      <c r="B36" s="62" t="s">
        <v>51</v>
      </c>
      <c r="C36" s="20" t="s">
        <v>128</v>
      </c>
      <c r="D36" s="55" t="str">
        <f aca="false">"Разработка"&amp;CHAR(10)&amp;"("&amp;Дев_мес&amp;" мес.)"</f>
        <v>Разработка
(4 мес.)</v>
      </c>
      <c r="E36" s="55" t="str">
        <f aca="false">"Операционка"&amp;CHAR(10)&amp;"("&amp;Опер_мес&amp;" мес.)"</f>
        <v>Операционка
(8 мес.)</v>
      </c>
      <c r="F36" s="55" t="str">
        <f aca="false">"Итого"&amp;CHAR(10)&amp;"12 мес."</f>
        <v>Итого
12 мес.</v>
      </c>
      <c r="G36" s="19"/>
      <c r="H36" s="20" t="str">
        <f aca="false">Выручка!H$5</f>
        <v>Сен 2026</v>
      </c>
      <c r="I36" s="20" t="str">
        <f aca="false">Выручка!I$5</f>
        <v>Окт 2026</v>
      </c>
      <c r="J36" s="20" t="str">
        <f aca="false">Выручка!J$5</f>
        <v>Ноя 2026</v>
      </c>
      <c r="K36" s="20" t="str">
        <f aca="false">Выручка!K$5</f>
        <v>Дек 2026</v>
      </c>
      <c r="L36" s="20" t="str">
        <f aca="false">Выручка!L$5</f>
        <v>Янв 2027</v>
      </c>
      <c r="M36" s="20" t="str">
        <f aca="false">Выручка!M$5</f>
        <v>Фев 2027</v>
      </c>
      <c r="N36" s="20" t="str">
        <f aca="false">Выручка!N$5</f>
        <v>Мар 2027</v>
      </c>
      <c r="O36" s="20" t="str">
        <f aca="false">Выручка!O$5</f>
        <v>Апр 2027</v>
      </c>
      <c r="P36" s="20" t="str">
        <f aca="false">Выручка!P$5</f>
        <v>Май 2027</v>
      </c>
      <c r="Q36" s="20" t="str">
        <f aca="false">Выручка!Q$5</f>
        <v>Июн 2027</v>
      </c>
      <c r="R36" s="20" t="str">
        <f aca="false">Выручка!R$5</f>
        <v>Июл 2027</v>
      </c>
      <c r="S36" s="20" t="str">
        <f aca="false">Выручка!S$5</f>
        <v>Авг 2027</v>
      </c>
    </row>
    <row r="37" customFormat="false" ht="14.25" hidden="false" customHeight="false" outlineLevel="0" collapsed="false">
      <c r="B37" s="44" t="s">
        <v>199</v>
      </c>
      <c r="H37" s="63" t="n">
        <f aca="false">Выручка!H$6</f>
        <v>1</v>
      </c>
      <c r="I37" s="63" t="n">
        <f aca="false">Выручка!I$6</f>
        <v>2</v>
      </c>
      <c r="J37" s="63" t="n">
        <f aca="false">Выручка!J$6</f>
        <v>3</v>
      </c>
      <c r="K37" s="63" t="n">
        <f aca="false">Выручка!K$6</f>
        <v>4</v>
      </c>
      <c r="L37" s="63" t="n">
        <f aca="false">Выручка!L$6</f>
        <v>5</v>
      </c>
      <c r="M37" s="63" t="n">
        <f aca="false">Выручка!M$6</f>
        <v>6</v>
      </c>
      <c r="N37" s="63" t="n">
        <f aca="false">Выручка!N$6</f>
        <v>7</v>
      </c>
      <c r="O37" s="63" t="n">
        <f aca="false">Выручка!O$6</f>
        <v>8</v>
      </c>
      <c r="P37" s="63" t="n">
        <f aca="false">Выручка!P$6</f>
        <v>9</v>
      </c>
      <c r="Q37" s="63" t="n">
        <f aca="false">Выручка!Q$6</f>
        <v>10</v>
      </c>
      <c r="R37" s="63" t="n">
        <f aca="false">Выручка!R$6</f>
        <v>11</v>
      </c>
      <c r="S37" s="63" t="n">
        <f aca="false">Выручка!S$6</f>
        <v>12</v>
      </c>
    </row>
    <row r="38" customFormat="false" ht="14.25" hidden="false" customHeight="false" outlineLevel="0" collapsed="false">
      <c r="B38" s="44" t="s">
        <v>200</v>
      </c>
      <c r="H38" s="64" t="n">
        <f aca="false">Выручка!H$7</f>
        <v>46266</v>
      </c>
      <c r="I38" s="64" t="n">
        <f aca="false">Выручка!I$7</f>
        <v>46296</v>
      </c>
      <c r="J38" s="64" t="n">
        <f aca="false">Выручка!J$7</f>
        <v>46327</v>
      </c>
      <c r="K38" s="64" t="n">
        <f aca="false">Выручка!K$7</f>
        <v>46357</v>
      </c>
      <c r="L38" s="64" t="n">
        <f aca="false">Выручка!L$7</f>
        <v>46388</v>
      </c>
      <c r="M38" s="64" t="n">
        <f aca="false">Выручка!M$7</f>
        <v>46419</v>
      </c>
      <c r="N38" s="64" t="n">
        <f aca="false">Выручка!N$7</f>
        <v>46447</v>
      </c>
      <c r="O38" s="64" t="n">
        <f aca="false">Выручка!O$7</f>
        <v>46478</v>
      </c>
      <c r="P38" s="64" t="n">
        <f aca="false">Выручка!P$7</f>
        <v>46508</v>
      </c>
      <c r="Q38" s="64" t="n">
        <f aca="false">Выручка!Q$7</f>
        <v>46539</v>
      </c>
      <c r="R38" s="64" t="n">
        <f aca="false">Выручка!R$7</f>
        <v>46569</v>
      </c>
      <c r="S38" s="64" t="n">
        <f aca="false">Выручка!S$7</f>
        <v>46600</v>
      </c>
    </row>
    <row r="39" customFormat="false" ht="14.25" hidden="false" customHeight="false" outlineLevel="0" collapsed="false">
      <c r="B39" s="44" t="s">
        <v>201</v>
      </c>
      <c r="H39" s="45" t="str">
        <f aca="false">Выручка!H$8</f>
        <v>Разработка</v>
      </c>
      <c r="I39" s="45" t="str">
        <f aca="false">Выручка!I$8</f>
        <v>Разработка</v>
      </c>
      <c r="J39" s="45" t="str">
        <f aca="false">Выручка!J$8</f>
        <v>Разработка</v>
      </c>
      <c r="K39" s="45" t="str">
        <f aca="false">Выручка!K$8</f>
        <v>Разработка</v>
      </c>
      <c r="L39" s="45" t="str">
        <f aca="false">Выручка!L$8</f>
        <v>Операционка</v>
      </c>
      <c r="M39" s="45" t="str">
        <f aca="false">Выручка!M$8</f>
        <v>Операционка</v>
      </c>
      <c r="N39" s="45" t="str">
        <f aca="false">Выручка!N$8</f>
        <v>Операционка</v>
      </c>
      <c r="O39" s="45" t="str">
        <f aca="false">Выручка!O$8</f>
        <v>Операционка</v>
      </c>
      <c r="P39" s="45" t="str">
        <f aca="false">Выручка!P$8</f>
        <v>Операционка</v>
      </c>
      <c r="Q39" s="45" t="str">
        <f aca="false">Выручка!Q$8</f>
        <v>Операционка</v>
      </c>
      <c r="R39" s="45" t="str">
        <f aca="false">Выручка!R$8</f>
        <v>Операционка</v>
      </c>
      <c r="S39" s="45" t="str">
        <f aca="false">Выручка!S$8</f>
        <v>Операционка</v>
      </c>
    </row>
    <row r="40" customFormat="false" ht="14.25" hidden="false" customHeight="false" outlineLevel="0" collapsed="false">
      <c r="B40" s="44" t="s">
        <v>202</v>
      </c>
      <c r="H40" s="63" t="n">
        <f aca="false">Выручка!H$9</f>
        <v>0</v>
      </c>
      <c r="I40" s="63" t="n">
        <f aca="false">Выручка!I$9</f>
        <v>0</v>
      </c>
      <c r="J40" s="63" t="n">
        <f aca="false">Выручка!J$9</f>
        <v>0</v>
      </c>
      <c r="K40" s="63" t="n">
        <f aca="false">Выручка!K$9</f>
        <v>0</v>
      </c>
      <c r="L40" s="63" t="n">
        <f aca="false">Выручка!L$9</f>
        <v>1</v>
      </c>
      <c r="M40" s="63" t="n">
        <f aca="false">Выручка!M$9</f>
        <v>2</v>
      </c>
      <c r="N40" s="63" t="n">
        <f aca="false">Выручка!N$9</f>
        <v>3</v>
      </c>
      <c r="O40" s="63" t="n">
        <f aca="false">Выручка!O$9</f>
        <v>4</v>
      </c>
      <c r="P40" s="63" t="n">
        <f aca="false">Выручка!P$9</f>
        <v>5</v>
      </c>
      <c r="Q40" s="63" t="n">
        <f aca="false">Выручка!Q$9</f>
        <v>6</v>
      </c>
      <c r="R40" s="63" t="n">
        <f aca="false">Выручка!R$9</f>
        <v>7</v>
      </c>
      <c r="S40" s="63" t="n">
        <f aca="false">Выручка!S$9</f>
        <v>8</v>
      </c>
    </row>
    <row r="42" customFormat="false" ht="18" hidden="false" customHeight="true" outlineLevel="0" collapsed="false">
      <c r="B42" s="19" t="str">
        <f aca="false">"Сценарий «"&amp;(Допущения!$E$80)&amp;"»: MAU ×"&amp;(FIXED(Допущения!$E$82,1))&amp;", eCPM ×"&amp;(FIXED(Допущения!$E$83,1))&amp;", конверсия ×"&amp;(FIXED(Допущения!$E$84,1))&amp;", маркетинг "&amp;(FIXED(Допущения!$E$85,0))&amp;" ₽/мес"</f>
        <v>Сценарий «Оптимистичный»: MAU ×1.4, eCPM ×1.0, конверсия ×1.0, маркетинг 40,000 ₽/мес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</row>
    <row r="43" customFormat="false" ht="14.25" hidden="false" customHeight="false" outlineLevel="0" collapsed="false">
      <c r="B43" s="65" t="s">
        <v>59</v>
      </c>
      <c r="C43" s="27" t="s">
        <v>87</v>
      </c>
      <c r="D43" s="66" t="n">
        <f aca="false">INDEX($H$43:$S$43,1,Дев_мес)</f>
        <v>0</v>
      </c>
      <c r="E43" s="66" t="n">
        <f aca="false">IF(Опер_мес&gt;0,S43,"")</f>
        <v>28000</v>
      </c>
      <c r="F43" s="67" t="n">
        <f aca="false">S43</f>
        <v>28000</v>
      </c>
      <c r="H43" s="66" t="n">
        <f aca="false">Выручка!H12*Допущения!$E$82</f>
        <v>0</v>
      </c>
      <c r="I43" s="66" t="n">
        <f aca="false">Выручка!I12*Допущения!$E$82</f>
        <v>0</v>
      </c>
      <c r="J43" s="66" t="n">
        <f aca="false">Выручка!J12*Допущения!$E$82</f>
        <v>0</v>
      </c>
      <c r="K43" s="66" t="n">
        <f aca="false">Выручка!K12*Допущения!$E$82</f>
        <v>0</v>
      </c>
      <c r="L43" s="66" t="n">
        <f aca="false">Выручка!L12*Допущения!$E$82</f>
        <v>2100</v>
      </c>
      <c r="M43" s="66" t="n">
        <f aca="false">Выручка!M12*Допущения!$E$82</f>
        <v>4200</v>
      </c>
      <c r="N43" s="66" t="n">
        <f aca="false">Выручка!N12*Допущения!$E$82</f>
        <v>7000</v>
      </c>
      <c r="O43" s="66" t="n">
        <f aca="false">Выручка!O12*Допущения!$E$82</f>
        <v>9800</v>
      </c>
      <c r="P43" s="66" t="n">
        <f aca="false">Выручка!P12*Допущения!$E$82</f>
        <v>12600</v>
      </c>
      <c r="Q43" s="66" t="n">
        <f aca="false">Выручка!Q12*Допущения!$E$82</f>
        <v>16800</v>
      </c>
      <c r="R43" s="66" t="n">
        <f aca="false">Выручка!R12*Допущения!$E$82</f>
        <v>22400</v>
      </c>
      <c r="S43" s="66" t="n">
        <f aca="false">Выручка!S12*Допущения!$E$82</f>
        <v>28000</v>
      </c>
    </row>
    <row r="44" customFormat="false" ht="14.25" hidden="false" customHeight="false" outlineLevel="0" collapsed="false">
      <c r="B44" s="65" t="s">
        <v>221</v>
      </c>
      <c r="C44" s="27" t="s">
        <v>90</v>
      </c>
      <c r="D44" s="66" t="n">
        <f aca="false">SUMIF($H$39:$S$39,"Разработка",$H$44:$S$44)</f>
        <v>0</v>
      </c>
      <c r="E44" s="66" t="n">
        <f aca="false">SUMIF($H$39:$S$39,"Операционка",$H$44:$S$44)</f>
        <v>510044.85</v>
      </c>
      <c r="F44" s="67" t="n">
        <f aca="false">SUM($H$44:$S$44)</f>
        <v>510044.85</v>
      </c>
      <c r="H44" s="66" t="n">
        <f aca="false">H43*(Выручка!H41+Выручка!H42)*Допущения!$E$83</f>
        <v>0</v>
      </c>
      <c r="I44" s="66" t="n">
        <f aca="false">I43*(Выручка!I41+Выручка!I42)*Допущения!$E$83</f>
        <v>0</v>
      </c>
      <c r="J44" s="66" t="n">
        <f aca="false">J43*(Выручка!J41+Выручка!J42)*Допущения!$E$83</f>
        <v>0</v>
      </c>
      <c r="K44" s="66" t="n">
        <f aca="false">K43*(Выручка!K41+Выручка!K42)*Допущения!$E$83</f>
        <v>0</v>
      </c>
      <c r="L44" s="66" t="n">
        <f aca="false">L43*(Выручка!L41+Выручка!L42)*Допущения!$E$83</f>
        <v>9875.25</v>
      </c>
      <c r="M44" s="66" t="n">
        <f aca="false">M43*(Выручка!M41+Выручка!M42)*Допущения!$E$83</f>
        <v>19901.7</v>
      </c>
      <c r="N44" s="66" t="n">
        <f aca="false">N43*(Выручка!N41+Выручка!N42)*Допущения!$E$83</f>
        <v>33673.5</v>
      </c>
      <c r="O44" s="66" t="n">
        <f aca="false">O43*(Выручка!O41+Выручка!O42)*Допущения!$E$83</f>
        <v>47848.5</v>
      </c>
      <c r="P44" s="66" t="n">
        <f aca="false">P43*(Выручка!P41+Выручка!P42)*Допущения!$E$83</f>
        <v>61973.1</v>
      </c>
      <c r="Q44" s="66" t="n">
        <f aca="false">Q43*(Выручка!Q41+Выручка!Q42)*Допущения!$E$83</f>
        <v>83235.6</v>
      </c>
      <c r="R44" s="66" t="n">
        <f aca="false">R43*(Выручка!R41+Выручка!R42)*Допущения!$E$83</f>
        <v>111787.2</v>
      </c>
      <c r="S44" s="66" t="n">
        <f aca="false">S43*(Выручка!S41+Выручка!S42)*Допущения!$E$83</f>
        <v>141750</v>
      </c>
    </row>
    <row r="45" customFormat="false" ht="14.25" hidden="false" customHeight="false" outlineLevel="0" collapsed="false">
      <c r="B45" s="65" t="s">
        <v>378</v>
      </c>
      <c r="C45" s="27" t="s">
        <v>90</v>
      </c>
      <c r="D45" s="66" t="n">
        <f aca="false">SUMIF($H$39:$S$39,"Разработка",$H$45:$S$45)</f>
        <v>0</v>
      </c>
      <c r="E45" s="66" t="n">
        <f aca="false">SUMIF($H$39:$S$39,"Операционка",$H$45:$S$45)</f>
        <v>346611.2</v>
      </c>
      <c r="F45" s="67" t="n">
        <f aca="false">SUM($H$45:$S$45)</f>
        <v>346611.2</v>
      </c>
      <c r="H45" s="66" t="n">
        <f aca="false">ROUND(H43*(Выручка!H43*Допущения!$E$84),0)*Выручка!H30</f>
        <v>0</v>
      </c>
      <c r="I45" s="66" t="n">
        <f aca="false">ROUND(I43*(Выручка!I43*Допущения!$E$84),0)*Выручка!I30</f>
        <v>0</v>
      </c>
      <c r="J45" s="66" t="n">
        <f aca="false">ROUND(J43*(Выручка!J43*Допущения!$E$84),0)*Выручка!J30</f>
        <v>0</v>
      </c>
      <c r="K45" s="66" t="n">
        <f aca="false">ROUND(K43*(Выручка!K43*Допущения!$E$84),0)*Выручка!K30</f>
        <v>0</v>
      </c>
      <c r="L45" s="66" t="n">
        <f aca="false">ROUND(L43*(Выручка!L43*Допущения!$E$84),0)*Выручка!L30</f>
        <v>4434</v>
      </c>
      <c r="M45" s="66" t="n">
        <f aca="false">ROUND(M43*(Выручка!M43*Допущения!$E$84),0)*Выручка!M30</f>
        <v>9768</v>
      </c>
      <c r="N45" s="66" t="n">
        <f aca="false">ROUND(N43*(Выручка!N43*Допущения!$E$84),0)*Выручка!N30</f>
        <v>17786.8</v>
      </c>
      <c r="O45" s="66" t="n">
        <f aca="false">ROUND(O43*(Выручка!O43*Допущения!$E$84),0)*Выручка!O30</f>
        <v>26956.8</v>
      </c>
      <c r="P45" s="66" t="n">
        <f aca="false">ROUND(P43*(Выручка!P43*Допущения!$E$84),0)*Выручка!P30</f>
        <v>38049.2</v>
      </c>
      <c r="Q45" s="66" t="n">
        <f aca="false">ROUND(Q43*(Выручка!Q43*Допущения!$E$84),0)*Выручка!Q30</f>
        <v>56715.6</v>
      </c>
      <c r="R45" s="66" t="n">
        <f aca="false">ROUND(R43*(Выручка!R43*Допущения!$E$84),0)*Выручка!R30</f>
        <v>82132.8</v>
      </c>
      <c r="S45" s="66" t="n">
        <f aca="false">ROUND(S43*(Выручка!S43*Допущения!$E$84),0)*Выручка!S30</f>
        <v>110768</v>
      </c>
    </row>
    <row r="46" customFormat="false" ht="14.25" hidden="false" customHeight="false" outlineLevel="0" collapsed="false">
      <c r="B46" s="68" t="s">
        <v>295</v>
      </c>
      <c r="C46" s="69" t="s">
        <v>90</v>
      </c>
      <c r="D46" s="70" t="n">
        <f aca="false">SUMIF($H$39:$S$39,"Разработка",$H$46:$S$46)</f>
        <v>0</v>
      </c>
      <c r="E46" s="70" t="n">
        <f aca="false">SUMIF($H$39:$S$39,"Операционка",$H$46:$S$46)</f>
        <v>856656.05</v>
      </c>
      <c r="F46" s="70" t="n">
        <f aca="false">SUM($H$46:$S$46)</f>
        <v>856656.05</v>
      </c>
      <c r="H46" s="70" t="n">
        <f aca="false">H44+H45</f>
        <v>0</v>
      </c>
      <c r="I46" s="70" t="n">
        <f aca="false">I44+I45</f>
        <v>0</v>
      </c>
      <c r="J46" s="70" t="n">
        <f aca="false">J44+J45</f>
        <v>0</v>
      </c>
      <c r="K46" s="70" t="n">
        <f aca="false">K44+K45</f>
        <v>0</v>
      </c>
      <c r="L46" s="70" t="n">
        <f aca="false">L44+L45</f>
        <v>14309.25</v>
      </c>
      <c r="M46" s="70" t="n">
        <f aca="false">M44+M45</f>
        <v>29669.7</v>
      </c>
      <c r="N46" s="70" t="n">
        <f aca="false">N44+N45</f>
        <v>51460.3</v>
      </c>
      <c r="O46" s="70" t="n">
        <f aca="false">O44+O45</f>
        <v>74805.3</v>
      </c>
      <c r="P46" s="70" t="n">
        <f aca="false">P44+P45</f>
        <v>100022.3</v>
      </c>
      <c r="Q46" s="70" t="n">
        <f aca="false">Q44+Q45</f>
        <v>139951.2</v>
      </c>
      <c r="R46" s="70" t="n">
        <f aca="false">R44+R45</f>
        <v>193920</v>
      </c>
      <c r="S46" s="70" t="n">
        <f aca="false">S44+S45</f>
        <v>252518</v>
      </c>
    </row>
    <row r="47" customFormat="false" ht="14.25" hidden="false" customHeight="false" outlineLevel="0" collapsed="false">
      <c r="B47" s="65" t="s">
        <v>379</v>
      </c>
      <c r="C47" s="27" t="s">
        <v>90</v>
      </c>
      <c r="D47" s="66" t="n">
        <f aca="false">SUMIF($H$39:$S$39,"Разработка",$H$47:$S$47)</f>
        <v>0</v>
      </c>
      <c r="E47" s="66" t="n">
        <f aca="false">SUMIF($H$39:$S$39,"Операционка",$H$47:$S$47)</f>
        <v>51991.68</v>
      </c>
      <c r="F47" s="67" t="n">
        <f aca="false">SUM($H$47:$S$47)</f>
        <v>51991.68</v>
      </c>
      <c r="H47" s="66" t="n">
        <f aca="false">H45*Комиссия_стора</f>
        <v>0</v>
      </c>
      <c r="I47" s="66" t="n">
        <f aca="false">I45*Комиссия_стора</f>
        <v>0</v>
      </c>
      <c r="J47" s="66" t="n">
        <f aca="false">J45*Комиссия_стора</f>
        <v>0</v>
      </c>
      <c r="K47" s="66" t="n">
        <f aca="false">K45*Комиссия_стора</f>
        <v>0</v>
      </c>
      <c r="L47" s="66" t="n">
        <f aca="false">L45*Комиссия_стора</f>
        <v>665.1</v>
      </c>
      <c r="M47" s="66" t="n">
        <f aca="false">M45*Комиссия_стора</f>
        <v>1465.2</v>
      </c>
      <c r="N47" s="66" t="n">
        <f aca="false">N45*Комиссия_стора</f>
        <v>2668.02</v>
      </c>
      <c r="O47" s="66" t="n">
        <f aca="false">O45*Комиссия_стора</f>
        <v>4043.52</v>
      </c>
      <c r="P47" s="66" t="n">
        <f aca="false">P45*Комиссия_стора</f>
        <v>5707.38</v>
      </c>
      <c r="Q47" s="66" t="n">
        <f aca="false">Q45*Комиссия_стора</f>
        <v>8507.34</v>
      </c>
      <c r="R47" s="66" t="n">
        <f aca="false">R45*Комиссия_стора</f>
        <v>12319.92</v>
      </c>
      <c r="S47" s="66" t="n">
        <f aca="false">S45*Комиссия_стора</f>
        <v>16615.2</v>
      </c>
    </row>
    <row r="48" customFormat="false" ht="14.25" hidden="false" customHeight="false" outlineLevel="0" collapsed="false">
      <c r="B48" s="65" t="s">
        <v>285</v>
      </c>
      <c r="C48" s="27" t="s">
        <v>90</v>
      </c>
      <c r="D48" s="66" t="n">
        <f aca="false">SUMIF($H$39:$S$39,"Разработка",$H$48:$S$48)</f>
        <v>52000</v>
      </c>
      <c r="E48" s="66" t="n">
        <f aca="false">SUMIF($H$39:$S$39,"Операционка",$H$48:$S$48)</f>
        <v>510511.75</v>
      </c>
      <c r="F48" s="67" t="n">
        <f aca="false">SUM($H$48:$S$48)</f>
        <v>562511.75</v>
      </c>
      <c r="H48" s="66" t="n">
        <f aca="false">(Расходы!H12-Энергия!H39+H43*Энергия!H40)+Расходы!H13+Расходы!H14+IF(H$39="Разработка",Расходы!H15,Допущения!$E$85)</f>
        <v>4000</v>
      </c>
      <c r="I48" s="66" t="n">
        <f aca="false">(Расходы!I12-Энергия!I39+I43*Энергия!I40)+Расходы!I13+Расходы!I14+IF(I$39="Разработка",Расходы!I15,Допущения!$E$85)</f>
        <v>6000</v>
      </c>
      <c r="J48" s="66" t="n">
        <f aca="false">(Расходы!J12-Энергия!J39+J43*Энергия!J40)+Расходы!J13+Расходы!J14+IF(J$39="Разработка",Расходы!J15,Допущения!$E$85)</f>
        <v>16000</v>
      </c>
      <c r="K48" s="66" t="n">
        <f aca="false">(Расходы!K12-Энергия!K39+K43*Энергия!K40)+Расходы!K13+Расходы!K14+IF(K$39="Разработка",Расходы!K15,Допущения!$E$85)</f>
        <v>26000</v>
      </c>
      <c r="L48" s="66" t="n">
        <f aca="false">(Расходы!L12-Энергия!L39+L43*Энергия!L40)+Расходы!L13+Расходы!L14+IF(L$39="Разработка",Расходы!L15,Допущения!$E$85)</f>
        <v>57275.75</v>
      </c>
      <c r="M48" s="66" t="n">
        <f aca="false">(Расходы!M12-Энергия!M39+M43*Энергия!M40)+Расходы!M13+Расходы!M14+IF(M$39="Разработка",Расходы!M15,Допущения!$E$85)</f>
        <v>58551.5</v>
      </c>
      <c r="N48" s="66" t="n">
        <f aca="false">(Расходы!N12-Энергия!N39+N43*Энергия!N40)+Расходы!N13+Расходы!N14+IF(N$39="Разработка",Расходы!N15,Допущения!$E$85)</f>
        <v>60252.5</v>
      </c>
      <c r="O48" s="66" t="n">
        <f aca="false">(Расходы!O12-Энергия!O39+O43*Энергия!O40)+Расходы!O13+Расходы!O14+IF(O$39="Разработка",Расходы!O15,Допущения!$E$85)</f>
        <v>61953.5</v>
      </c>
      <c r="P48" s="66" t="n">
        <f aca="false">(Расходы!P12-Энергия!P39+P43*Энергия!P40)+Расходы!P13+Расходы!P14+IF(P$39="Разработка",Расходы!P15,Допущения!$E$85)</f>
        <v>63654.5</v>
      </c>
      <c r="Q48" s="66" t="n">
        <f aca="false">(Расходы!Q12-Энергия!Q39+Q43*Энергия!Q40)+Расходы!Q13+Расходы!Q14+IF(Q$39="Разработка",Расходы!Q15,Допущения!$E$85)</f>
        <v>66206</v>
      </c>
      <c r="R48" s="66" t="n">
        <f aca="false">(Расходы!R12-Энергия!R39+R43*Энергия!R40)+Расходы!R13+Расходы!R14+IF(R$39="Разработка",Расходы!R15,Допущения!$E$85)</f>
        <v>69608</v>
      </c>
      <c r="S48" s="66" t="n">
        <f aca="false">(Расходы!S12-Энергия!S39+S43*Энергия!S40)+Расходы!S13+Расходы!S14+IF(S$39="Разработка",Расходы!S15,Допущения!$E$85)</f>
        <v>73010</v>
      </c>
    </row>
    <row r="49" customFormat="false" ht="14.25" hidden="false" customHeight="false" outlineLevel="0" collapsed="false">
      <c r="B49" s="68" t="s">
        <v>48</v>
      </c>
      <c r="C49" s="69" t="s">
        <v>90</v>
      </c>
      <c r="D49" s="70" t="n">
        <f aca="false">SUMIF($H$39:$S$39,"Разработка",$H$49:$S$49)</f>
        <v>-52000</v>
      </c>
      <c r="E49" s="70" t="n">
        <f aca="false">SUMIF($H$39:$S$39,"Операционка",$H$49:$S$49)</f>
        <v>294152.62</v>
      </c>
      <c r="F49" s="70" t="n">
        <f aca="false">SUM($H$49:$S$49)</f>
        <v>242152.62</v>
      </c>
      <c r="H49" s="70" t="n">
        <f aca="false">H46-H47-H48</f>
        <v>-4000</v>
      </c>
      <c r="I49" s="70" t="n">
        <f aca="false">I46-I47-I48</f>
        <v>-6000</v>
      </c>
      <c r="J49" s="70" t="n">
        <f aca="false">J46-J47-J48</f>
        <v>-16000</v>
      </c>
      <c r="K49" s="70" t="n">
        <f aca="false">K46-K47-K48</f>
        <v>-26000</v>
      </c>
      <c r="L49" s="70" t="n">
        <f aca="false">L46-L47-L48</f>
        <v>-43631.6</v>
      </c>
      <c r="M49" s="70" t="n">
        <f aca="false">M46-M47-M48</f>
        <v>-30347</v>
      </c>
      <c r="N49" s="70" t="n">
        <f aca="false">N46-N47-N48</f>
        <v>-11460.22</v>
      </c>
      <c r="O49" s="70" t="n">
        <f aca="false">O46-O47-O48</f>
        <v>8808.28</v>
      </c>
      <c r="P49" s="70" t="n">
        <f aca="false">P46-P47-P48</f>
        <v>30660.42</v>
      </c>
      <c r="Q49" s="70" t="n">
        <f aca="false">Q46-Q47-Q48</f>
        <v>65237.86</v>
      </c>
      <c r="R49" s="70" t="n">
        <f aca="false">R46-R47-R48</f>
        <v>111992.08</v>
      </c>
      <c r="S49" s="70" t="n">
        <f aca="false">S46-S47-S48</f>
        <v>162892.8</v>
      </c>
    </row>
    <row r="50" customFormat="false" ht="14.25" hidden="true" customHeight="false" outlineLevel="0" collapsed="false">
      <c r="B50" s="65" t="s">
        <v>380</v>
      </c>
      <c r="C50" s="27" t="s">
        <v>90</v>
      </c>
      <c r="D50" s="66" t="n">
        <f aca="false">SUMIF($H$39:$S$39,"Разработка",$H$50:$S$50)</f>
        <v>0</v>
      </c>
      <c r="E50" s="66" t="n">
        <f aca="false">SUMIF($H$39:$S$39,"Операционка",$H$50:$S$50)</f>
        <v>0</v>
      </c>
      <c r="F50" s="67" t="n">
        <f aca="false">SUM($H$50:$S$50)</f>
        <v>0</v>
      </c>
      <c r="H50" s="98" t="n">
        <f aca="false">0</f>
        <v>0</v>
      </c>
      <c r="I50" s="98" t="n">
        <f aca="false">0</f>
        <v>0</v>
      </c>
      <c r="J50" s="98" t="n">
        <f aca="false">0</f>
        <v>0</v>
      </c>
      <c r="K50" s="98" t="n">
        <f aca="false">0</f>
        <v>0</v>
      </c>
      <c r="L50" s="98" t="n">
        <f aca="false">0</f>
        <v>0</v>
      </c>
      <c r="M50" s="98" t="n">
        <f aca="false">0</f>
        <v>0</v>
      </c>
      <c r="N50" s="98" t="n">
        <f aca="false">0</f>
        <v>0</v>
      </c>
      <c r="O50" s="98" t="n">
        <f aca="false">0</f>
        <v>0</v>
      </c>
      <c r="P50" s="98" t="n">
        <f aca="false">0</f>
        <v>0</v>
      </c>
      <c r="Q50" s="98" t="n">
        <f aca="false">0</f>
        <v>0</v>
      </c>
      <c r="R50" s="98" t="n">
        <f aca="false">0</f>
        <v>0</v>
      </c>
      <c r="S50" s="98" t="n">
        <f aca="false">0</f>
        <v>0</v>
      </c>
    </row>
    <row r="51" customFormat="false" ht="14.25" hidden="false" customHeight="false" outlineLevel="0" collapsed="false">
      <c r="B51" s="82" t="s">
        <v>381</v>
      </c>
      <c r="C51" s="27" t="s">
        <v>90</v>
      </c>
      <c r="D51" s="105" t="n">
        <f aca="false">INDEX($H$51:$S$51,1,Дев_мес)</f>
        <v>0</v>
      </c>
      <c r="E51" s="105" t="n">
        <f aca="false">IF(Опер_мес&gt;0,S51,"")</f>
        <v>856656.05</v>
      </c>
      <c r="F51" s="105" t="n">
        <f aca="false">S51</f>
        <v>856656.05</v>
      </c>
      <c r="H51" s="105" t="n">
        <f aca="false">IF(H$37-Лаг_выручки&gt;=1,INDEX($H46:$S46,1,H$37-Лаг_выручки),0)</f>
        <v>0</v>
      </c>
      <c r="I51" s="105" t="n">
        <f aca="false">IF(YEAR(I$38)=YEAR(H$38),H51,0)+IF(I$37-Лаг_выручки&gt;=1,INDEX($H46:$S46,1,I$37-Лаг_выручки),0)</f>
        <v>0</v>
      </c>
      <c r="J51" s="105" t="n">
        <f aca="false">IF(YEAR(J$38)=YEAR(I$38),I51,0)+IF(J$37-Лаг_выручки&gt;=1,INDEX($H46:$S46,1,J$37-Лаг_выручки),0)</f>
        <v>0</v>
      </c>
      <c r="K51" s="105" t="n">
        <f aca="false">IF(YEAR(K$38)=YEAR(J$38),J51,0)+IF(K$37-Лаг_выручки&gt;=1,INDEX($H46:$S46,1,K$37-Лаг_выручки),0)</f>
        <v>0</v>
      </c>
      <c r="L51" s="105" t="n">
        <f aca="false">IF(YEAR(L$38)=YEAR(K$38),K51,0)+IF(L$37-Лаг_выручки&gt;=1,INDEX($H46:$S46,1,L$37-Лаг_выручки),0)</f>
        <v>14309.25</v>
      </c>
      <c r="M51" s="105" t="n">
        <f aca="false">IF(YEAR(M$38)=YEAR(L$38),L51,0)+IF(M$37-Лаг_выручки&gt;=1,INDEX($H46:$S46,1,M$37-Лаг_выручки),0)</f>
        <v>43978.95</v>
      </c>
      <c r="N51" s="105" t="n">
        <f aca="false">IF(YEAR(N$38)=YEAR(M$38),M51,0)+IF(N$37-Лаг_выручки&gt;=1,INDEX($H46:$S46,1,N$37-Лаг_выручки),0)</f>
        <v>95439.25</v>
      </c>
      <c r="O51" s="105" t="n">
        <f aca="false">IF(YEAR(O$38)=YEAR(N$38),N51,0)+IF(O$37-Лаг_выручки&gt;=1,INDEX($H46:$S46,1,O$37-Лаг_выручки),0)</f>
        <v>170244.55</v>
      </c>
      <c r="P51" s="105" t="n">
        <f aca="false">IF(YEAR(P$38)=YEAR(O$38),O51,0)+IF(P$37-Лаг_выручки&gt;=1,INDEX($H46:$S46,1,P$37-Лаг_выручки),0)</f>
        <v>270266.85</v>
      </c>
      <c r="Q51" s="105" t="n">
        <f aca="false">IF(YEAR(Q$38)=YEAR(P$38),P51,0)+IF(Q$37-Лаг_выручки&gt;=1,INDEX($H46:$S46,1,Q$37-Лаг_выручки),0)</f>
        <v>410218.05</v>
      </c>
      <c r="R51" s="105" t="n">
        <f aca="false">IF(YEAR(R$38)=YEAR(Q$38),Q51,0)+IF(R$37-Лаг_выручки&gt;=1,INDEX($H46:$S46,1,R$37-Лаг_выручки),0)</f>
        <v>604138.05</v>
      </c>
      <c r="S51" s="105" t="n">
        <f aca="false">IF(YEAR(S$38)=YEAR(R$38),R51,0)+IF(S$37-Лаг_выручки&gt;=1,INDEX($H46:$S46,1,S$37-Лаг_выручки),0)</f>
        <v>856656.05</v>
      </c>
    </row>
    <row r="52" customFormat="false" ht="14.25" hidden="false" customHeight="false" outlineLevel="0" collapsed="false">
      <c r="B52" s="82" t="s">
        <v>314</v>
      </c>
      <c r="C52" s="27" t="s">
        <v>90</v>
      </c>
      <c r="D52" s="105" t="n">
        <f aca="false">INDEX($H$52:$S$52,1,Дев_мес)</f>
        <v>0</v>
      </c>
      <c r="E52" s="105" t="n">
        <f aca="false">IF(Опер_мес&gt;0,S52,"")</f>
        <v>0</v>
      </c>
      <c r="F52" s="105" t="n">
        <f aca="false">S52</f>
        <v>0</v>
      </c>
      <c r="H52" s="105" t="n">
        <f aca="false">MAX(0,Ставка_УСН*H51-MIN(Взносы_вычет,Лимит_вычета*Ставка_УСН*H51))</f>
        <v>0</v>
      </c>
      <c r="I52" s="105" t="n">
        <f aca="false">MAX(0,Ставка_УСН*I51-MIN(Взносы_вычет,Лимит_вычета*Ставка_УСН*I51))</f>
        <v>0</v>
      </c>
      <c r="J52" s="105" t="n">
        <f aca="false">MAX(0,Ставка_УСН*J51-MIN(Взносы_вычет,Лимит_вычета*Ставка_УСН*J51))</f>
        <v>0</v>
      </c>
      <c r="K52" s="105" t="n">
        <f aca="false">MAX(0,Ставка_УСН*K51-MIN(Взносы_вычет,Лимит_вычета*Ставка_УСН*K51))</f>
        <v>0</v>
      </c>
      <c r="L52" s="105" t="n">
        <f aca="false">MAX(0,Ставка_УСН*L51-MIN(Взносы_вычет,Лимит_вычета*Ставка_УСН*L51))</f>
        <v>0</v>
      </c>
      <c r="M52" s="105" t="n">
        <f aca="false">MAX(0,Ставка_УСН*M51-MIN(Взносы_вычет,Лимит_вычета*Ставка_УСН*M51))</f>
        <v>0</v>
      </c>
      <c r="N52" s="105" t="n">
        <f aca="false">MAX(0,Ставка_УСН*N51-MIN(Взносы_вычет,Лимит_вычета*Ставка_УСН*N51))</f>
        <v>0</v>
      </c>
      <c r="O52" s="105" t="n">
        <f aca="false">MAX(0,Ставка_УСН*O51-MIN(Взносы_вычет,Лимит_вычета*Ставка_УСН*O51))</f>
        <v>0</v>
      </c>
      <c r="P52" s="105" t="n">
        <f aca="false">MAX(0,Ставка_УСН*P51-MIN(Взносы_вычет,Лимит_вычета*Ставка_УСН*P51))</f>
        <v>0</v>
      </c>
      <c r="Q52" s="105" t="n">
        <f aca="false">MAX(0,Ставка_УСН*Q51-MIN(Взносы_вычет,Лимит_вычета*Ставка_УСН*Q51))</f>
        <v>0</v>
      </c>
      <c r="R52" s="105" t="n">
        <f aca="false">MAX(0,Ставка_УСН*R51-MIN(Взносы_вычет,Лимит_вычета*Ставка_УСН*R51))</f>
        <v>0</v>
      </c>
      <c r="S52" s="105" t="n">
        <f aca="false">MAX(0,Ставка_УСН*S51-MIN(Взносы_вычет,Лимит_вычета*Ставка_УСН*S51))</f>
        <v>0</v>
      </c>
    </row>
    <row r="53" customFormat="false" ht="14.25" hidden="false" customHeight="false" outlineLevel="0" collapsed="false">
      <c r="B53" s="65" t="s">
        <v>382</v>
      </c>
      <c r="C53" s="27" t="s">
        <v>90</v>
      </c>
      <c r="D53" s="66" t="n">
        <f aca="false">SUMIF($H$39:$S$39,"Разработка",$H$53:$S$53)</f>
        <v>0</v>
      </c>
      <c r="E53" s="66" t="n">
        <f aca="false">SUMIF($H$39:$S$39,"Операционка",$H$53:$S$53)</f>
        <v>0</v>
      </c>
      <c r="F53" s="67" t="n">
        <f aca="false">SUM($H$53:$S$53)</f>
        <v>0</v>
      </c>
      <c r="H53" s="66" t="n">
        <f aca="false">H52</f>
        <v>0</v>
      </c>
      <c r="I53" s="66" t="n">
        <f aca="false">I52-IF(YEAR(I$38)=YEAR(H$38),H52,0)</f>
        <v>0</v>
      </c>
      <c r="J53" s="66" t="n">
        <f aca="false">J52-IF(YEAR(J$38)=YEAR(I$38),I52,0)</f>
        <v>0</v>
      </c>
      <c r="K53" s="66" t="n">
        <f aca="false">K52-IF(YEAR(K$38)=YEAR(J$38),J52,0)</f>
        <v>0</v>
      </c>
      <c r="L53" s="66" t="n">
        <f aca="false">L52-IF(YEAR(L$38)=YEAR(K$38),K52,0)</f>
        <v>0</v>
      </c>
      <c r="M53" s="66" t="n">
        <f aca="false">M52-IF(YEAR(M$38)=YEAR(L$38),L52,0)</f>
        <v>0</v>
      </c>
      <c r="N53" s="66" t="n">
        <f aca="false">N52-IF(YEAR(N$38)=YEAR(M$38),M52,0)</f>
        <v>0</v>
      </c>
      <c r="O53" s="66" t="n">
        <f aca="false">O52-IF(YEAR(O$38)=YEAR(N$38),N52,0)</f>
        <v>0</v>
      </c>
      <c r="P53" s="66" t="n">
        <f aca="false">P52-IF(YEAR(P$38)=YEAR(O$38),O52,0)</f>
        <v>0</v>
      </c>
      <c r="Q53" s="66" t="n">
        <f aca="false">Q52-IF(YEAR(Q$38)=YEAR(P$38),P52,0)</f>
        <v>0</v>
      </c>
      <c r="R53" s="66" t="n">
        <f aca="false">R52-IF(YEAR(R$38)=YEAR(Q$38),Q52,0)</f>
        <v>0</v>
      </c>
      <c r="S53" s="66" t="n">
        <f aca="false">S52-IF(YEAR(S$38)=YEAR(R$38),R52,0)</f>
        <v>0</v>
      </c>
    </row>
    <row r="54" customFormat="false" ht="14.25" hidden="false" customHeight="false" outlineLevel="0" collapsed="false">
      <c r="B54" s="99" t="s">
        <v>12</v>
      </c>
      <c r="C54" s="100" t="s">
        <v>90</v>
      </c>
      <c r="D54" s="101" t="n">
        <f aca="false">SUMIF($H$39:$S$39,"Разработка",$H$54:$S$54)</f>
        <v>-52000</v>
      </c>
      <c r="E54" s="101" t="n">
        <f aca="false">SUMIF($H$39:$S$39,"Операционка",$H$54:$S$54)</f>
        <v>294152.62</v>
      </c>
      <c r="F54" s="101" t="n">
        <f aca="false">SUM($H$54:$S$54)</f>
        <v>242152.62</v>
      </c>
      <c r="G54" s="102"/>
      <c r="H54" s="101" t="n">
        <f aca="false">H49-H50-H53</f>
        <v>-4000</v>
      </c>
      <c r="I54" s="101" t="n">
        <f aca="false">I49-I50-I53</f>
        <v>-6000</v>
      </c>
      <c r="J54" s="101" t="n">
        <f aca="false">J49-J50-J53</f>
        <v>-16000</v>
      </c>
      <c r="K54" s="101" t="n">
        <f aca="false">K49-K50-K53</f>
        <v>-26000</v>
      </c>
      <c r="L54" s="101" t="n">
        <f aca="false">L49-L50-L53</f>
        <v>-43631.6</v>
      </c>
      <c r="M54" s="101" t="n">
        <f aca="false">M49-M50-M53</f>
        <v>-30347</v>
      </c>
      <c r="N54" s="101" t="n">
        <f aca="false">N49-N50-N53</f>
        <v>-11460.22</v>
      </c>
      <c r="O54" s="101" t="n">
        <f aca="false">O49-O50-O53</f>
        <v>8808.28</v>
      </c>
      <c r="P54" s="101" t="n">
        <f aca="false">P49-P50-P53</f>
        <v>30660.42</v>
      </c>
      <c r="Q54" s="101" t="n">
        <f aca="false">Q49-Q50-Q53</f>
        <v>65237.86</v>
      </c>
      <c r="R54" s="101" t="n">
        <f aca="false">R49-R50-R53</f>
        <v>111992.08</v>
      </c>
      <c r="S54" s="101" t="n">
        <f aca="false">S49-S50-S53</f>
        <v>162892.8</v>
      </c>
    </row>
    <row r="55" customFormat="false" ht="14.25" hidden="false" customHeight="false" outlineLevel="0" collapsed="false">
      <c r="B55" s="65" t="s">
        <v>383</v>
      </c>
      <c r="C55" s="27" t="s">
        <v>90</v>
      </c>
      <c r="D55" s="66" t="n">
        <f aca="false">SUMIF($H$39:$S$39,"Разработка",$H$55:$S$55)</f>
        <v>0</v>
      </c>
      <c r="E55" s="66" t="n">
        <f aca="false">SUMIF($H$39:$S$39,"Операционка",$H$55:$S$55)</f>
        <v>804664.37</v>
      </c>
      <c r="F55" s="67" t="n">
        <f aca="false">SUM($H$55:$S$55)</f>
        <v>804664.37</v>
      </c>
      <c r="H55" s="66" t="n">
        <f aca="false">IF(H$37-Лаг_выручки&gt;=1,INDEX($H46:$S46,1,H$37-Лаг_выручки)-INDEX($H47:$S47,1,H$37-Лаг_выручки),0)</f>
        <v>0</v>
      </c>
      <c r="I55" s="66" t="n">
        <f aca="false">IF(I$37-Лаг_выручки&gt;=1,INDEX($H46:$S46,1,I$37-Лаг_выручки)-INDEX($H47:$S47,1,I$37-Лаг_выручки),0)</f>
        <v>0</v>
      </c>
      <c r="J55" s="66" t="n">
        <f aca="false">IF(J$37-Лаг_выручки&gt;=1,INDEX($H46:$S46,1,J$37-Лаг_выручки)-INDEX($H47:$S47,1,J$37-Лаг_выручки),0)</f>
        <v>0</v>
      </c>
      <c r="K55" s="66" t="n">
        <f aca="false">IF(K$37-Лаг_выручки&gt;=1,INDEX($H46:$S46,1,K$37-Лаг_выручки)-INDEX($H47:$S47,1,K$37-Лаг_выручки),0)</f>
        <v>0</v>
      </c>
      <c r="L55" s="66" t="n">
        <f aca="false">IF(L$37-Лаг_выручки&gt;=1,INDEX($H46:$S46,1,L$37-Лаг_выручки)-INDEX($H47:$S47,1,L$37-Лаг_выручки),0)</f>
        <v>13644.15</v>
      </c>
      <c r="M55" s="66" t="n">
        <f aca="false">IF(M$37-Лаг_выручки&gt;=1,INDEX($H46:$S46,1,M$37-Лаг_выручки)-INDEX($H47:$S47,1,M$37-Лаг_выручки),0)</f>
        <v>28204.5</v>
      </c>
      <c r="N55" s="66" t="n">
        <f aca="false">IF(N$37-Лаг_выручки&gt;=1,INDEX($H46:$S46,1,N$37-Лаг_выручки)-INDEX($H47:$S47,1,N$37-Лаг_выручки),0)</f>
        <v>48792.28</v>
      </c>
      <c r="O55" s="66" t="n">
        <f aca="false">IF(O$37-Лаг_выручки&gt;=1,INDEX($H46:$S46,1,O$37-Лаг_выручки)-INDEX($H47:$S47,1,O$37-Лаг_выручки),0)</f>
        <v>70761.78</v>
      </c>
      <c r="P55" s="66" t="n">
        <f aca="false">IF(P$37-Лаг_выручки&gt;=1,INDEX($H46:$S46,1,P$37-Лаг_выручки)-INDEX($H47:$S47,1,P$37-Лаг_выручки),0)</f>
        <v>94314.92</v>
      </c>
      <c r="Q55" s="66" t="n">
        <f aca="false">IF(Q$37-Лаг_выручки&gt;=1,INDEX($H46:$S46,1,Q$37-Лаг_выручки)-INDEX($H47:$S47,1,Q$37-Лаг_выручки),0)</f>
        <v>131443.86</v>
      </c>
      <c r="R55" s="66" t="n">
        <f aca="false">IF(R$37-Лаг_выручки&gt;=1,INDEX($H46:$S46,1,R$37-Лаг_выручки)-INDEX($H47:$S47,1,R$37-Лаг_выручки),0)</f>
        <v>181600.08</v>
      </c>
      <c r="S55" s="66" t="n">
        <f aca="false">IF(S$37-Лаг_выручки&gt;=1,INDEX($H46:$S46,1,S$37-Лаг_выручки)-INDEX($H47:$S47,1,S$37-Лаг_выручки),0)</f>
        <v>235902.8</v>
      </c>
    </row>
    <row r="56" customFormat="false" ht="14.25" hidden="false" customHeight="false" outlineLevel="0" collapsed="false">
      <c r="B56" s="65" t="s">
        <v>60</v>
      </c>
      <c r="C56" s="27" t="s">
        <v>90</v>
      </c>
      <c r="D56" s="66" t="n">
        <f aca="false">SUMIF($H$39:$S$39,"Разработка",$H$56:$S$56)</f>
        <v>148000</v>
      </c>
      <c r="E56" s="66" t="n">
        <f aca="false">SUMIF($H$39:$S$39,"Операционка",$H$56:$S$56)</f>
        <v>294152.62</v>
      </c>
      <c r="F56" s="67" t="n">
        <f aca="false">SUM($H$56:$S$56)</f>
        <v>442152.62</v>
      </c>
      <c r="H56" s="66" t="n">
        <f aca="false">H55-H48-H53-H50+ДДС!H13</f>
        <v>196000</v>
      </c>
      <c r="I56" s="66" t="n">
        <f aca="false">I55-I48-I53-I50+ДДС!I13</f>
        <v>-6000</v>
      </c>
      <c r="J56" s="66" t="n">
        <f aca="false">J55-J48-J53-J50+ДДС!J13</f>
        <v>-16000</v>
      </c>
      <c r="K56" s="66" t="n">
        <f aca="false">K55-K48-K53-K50+ДДС!K13</f>
        <v>-26000</v>
      </c>
      <c r="L56" s="66" t="n">
        <f aca="false">L55-L48-L53-L50+ДДС!L13</f>
        <v>-43631.6</v>
      </c>
      <c r="M56" s="66" t="n">
        <f aca="false">M55-M48-M53-M50+ДДС!M13</f>
        <v>-30347</v>
      </c>
      <c r="N56" s="66" t="n">
        <f aca="false">N55-N48-N53-N50+ДДС!N13</f>
        <v>-11460.22</v>
      </c>
      <c r="O56" s="66" t="n">
        <f aca="false">O55-O48-O53-O50+ДДС!O13</f>
        <v>8808.28</v>
      </c>
      <c r="P56" s="66" t="n">
        <f aca="false">P55-P48-P53-P50+ДДС!P13</f>
        <v>30660.42</v>
      </c>
      <c r="Q56" s="66" t="n">
        <f aca="false">Q55-Q48-Q53-Q50+ДДС!Q13</f>
        <v>65237.86</v>
      </c>
      <c r="R56" s="66" t="n">
        <f aca="false">R55-R48-R53-R50+ДДС!R13</f>
        <v>111992.08</v>
      </c>
      <c r="S56" s="66" t="n">
        <f aca="false">S55-S48-S53-S50+ДДС!S13</f>
        <v>162892.8</v>
      </c>
    </row>
    <row r="57" customFormat="false" ht="14.25" hidden="false" customHeight="false" outlineLevel="0" collapsed="false">
      <c r="B57" s="68" t="s">
        <v>331</v>
      </c>
      <c r="C57" s="69" t="s">
        <v>90</v>
      </c>
      <c r="D57" s="70" t="n">
        <f aca="false">INDEX($H$57:$S$57,1,Дев_мес)</f>
        <v>148000</v>
      </c>
      <c r="E57" s="70" t="n">
        <f aca="false">IF(Опер_мес&gt;0,S57,"")</f>
        <v>442152.62</v>
      </c>
      <c r="F57" s="70" t="n">
        <f aca="false">S57</f>
        <v>442152.62</v>
      </c>
      <c r="H57" s="70" t="n">
        <f aca="false">H56</f>
        <v>196000</v>
      </c>
      <c r="I57" s="70" t="n">
        <f aca="false">H57+I56</f>
        <v>190000</v>
      </c>
      <c r="J57" s="70" t="n">
        <f aca="false">I57+J56</f>
        <v>174000</v>
      </c>
      <c r="K57" s="70" t="n">
        <f aca="false">J57+K56</f>
        <v>148000</v>
      </c>
      <c r="L57" s="70" t="n">
        <f aca="false">K57+L56</f>
        <v>104368.4</v>
      </c>
      <c r="M57" s="70" t="n">
        <f aca="false">L57+M56</f>
        <v>74021.4</v>
      </c>
      <c r="N57" s="70" t="n">
        <f aca="false">M57+N56</f>
        <v>62561.18</v>
      </c>
      <c r="O57" s="70" t="n">
        <f aca="false">N57+O56</f>
        <v>71369.46</v>
      </c>
      <c r="P57" s="70" t="n">
        <f aca="false">O57+P56</f>
        <v>102029.88</v>
      </c>
      <c r="Q57" s="70" t="n">
        <f aca="false">P57+Q56</f>
        <v>167267.74</v>
      </c>
      <c r="R57" s="70" t="n">
        <f aca="false">Q57+R56</f>
        <v>279259.82</v>
      </c>
      <c r="S57" s="70" t="n">
        <f aca="false">R57+S56</f>
        <v>442152.62</v>
      </c>
    </row>
    <row r="58" customFormat="false" ht="14.25" hidden="false" customHeight="false" outlineLevel="0" collapsed="false">
      <c r="B58" s="65" t="s">
        <v>337</v>
      </c>
      <c r="C58" s="27" t="s">
        <v>90</v>
      </c>
      <c r="D58" s="66" t="n">
        <f aca="false">INDEX($H$58:$S$58,1,Дев_мес)</f>
        <v>-52000</v>
      </c>
      <c r="E58" s="66" t="n">
        <f aca="false">IF(Опер_мес&gt;0,S58,"")</f>
        <v>242152.62</v>
      </c>
      <c r="F58" s="67" t="n">
        <f aca="false">S58</f>
        <v>242152.62</v>
      </c>
      <c r="H58" s="66" t="n">
        <f aca="false">H56-ДДС!H13-ДДС!H14</f>
        <v>-4000</v>
      </c>
      <c r="I58" s="66" t="n">
        <f aca="false">H58+I56-ДДС!I13-ДДС!I14</f>
        <v>-10000</v>
      </c>
      <c r="J58" s="66" t="n">
        <f aca="false">I58+J56-ДДС!J13-ДДС!J14</f>
        <v>-26000</v>
      </c>
      <c r="K58" s="66" t="n">
        <f aca="false">J58+K56-ДДС!K13-ДДС!K14</f>
        <v>-52000</v>
      </c>
      <c r="L58" s="66" t="n">
        <f aca="false">K58+L56-ДДС!L13-ДДС!L14</f>
        <v>-95631.6</v>
      </c>
      <c r="M58" s="66" t="n">
        <f aca="false">L58+M56-ДДС!M13-ДДС!M14</f>
        <v>-125978.6</v>
      </c>
      <c r="N58" s="66" t="n">
        <f aca="false">M58+N56-ДДС!N13-ДДС!N14</f>
        <v>-137438.82</v>
      </c>
      <c r="O58" s="66" t="n">
        <f aca="false">N58+O56-ДДС!O13-ДДС!O14</f>
        <v>-128630.54</v>
      </c>
      <c r="P58" s="66" t="n">
        <f aca="false">O58+P56-ДДС!P13-ДДС!P14</f>
        <v>-97970.12</v>
      </c>
      <c r="Q58" s="66" t="n">
        <f aca="false">P58+Q56-ДДС!Q13-ДДС!Q14</f>
        <v>-32732.26</v>
      </c>
      <c r="R58" s="66" t="n">
        <f aca="false">Q58+R56-ДДС!R13-ДДС!R14</f>
        <v>79259.82</v>
      </c>
      <c r="S58" s="66" t="n">
        <f aca="false">R58+S56-ДДС!S13-ДДС!S14</f>
        <v>242152.62</v>
      </c>
    </row>
    <row r="59" customFormat="false" ht="14.25" hidden="false" customHeight="false" outlineLevel="0" collapsed="false">
      <c r="B59" s="82" t="s">
        <v>384</v>
      </c>
      <c r="C59" s="27" t="s">
        <v>74</v>
      </c>
      <c r="D59" s="26"/>
      <c r="E59" s="26"/>
      <c r="F59" s="26"/>
      <c r="H59" s="83" t="str">
        <f aca="false">IF(H58&gt;=0,0,"")</f>
        <v/>
      </c>
      <c r="I59" s="83" t="str">
        <f aca="false">IF(AND(I58&gt;=0,H58&lt;0),(I$37-1)+(-H58)/(I58-H58),"")</f>
        <v/>
      </c>
      <c r="J59" s="83" t="str">
        <f aca="false">IF(AND(J58&gt;=0,I58&lt;0),(J$37-1)+(-I58)/(J58-I58),"")</f>
        <v/>
      </c>
      <c r="K59" s="83" t="str">
        <f aca="false">IF(AND(K58&gt;=0,J58&lt;0),(K$37-1)+(-J58)/(K58-J58),"")</f>
        <v/>
      </c>
      <c r="L59" s="83" t="str">
        <f aca="false">IF(AND(L58&gt;=0,K58&lt;0),(L$37-1)+(-K58)/(L58-K58),"")</f>
        <v/>
      </c>
      <c r="M59" s="83" t="str">
        <f aca="false">IF(AND(M58&gt;=0,L58&lt;0),(M$37-1)+(-L58)/(M58-L58),"")</f>
        <v/>
      </c>
      <c r="N59" s="83" t="str">
        <f aca="false">IF(AND(N58&gt;=0,M58&lt;0),(N$37-1)+(-M58)/(N58-M58),"")</f>
        <v/>
      </c>
      <c r="O59" s="83" t="str">
        <f aca="false">IF(AND(O58&gt;=0,N58&lt;0),(O$37-1)+(-N58)/(O58-N58),"")</f>
        <v/>
      </c>
      <c r="P59" s="83" t="str">
        <f aca="false">IF(AND(P58&gt;=0,O58&lt;0),(P$37-1)+(-O58)/(P58-O58),"")</f>
        <v/>
      </c>
      <c r="Q59" s="83" t="str">
        <f aca="false">IF(AND(Q58&gt;=0,P58&lt;0),(Q$37-1)+(-P58)/(Q58-P58),"")</f>
        <v/>
      </c>
      <c r="R59" s="83" t="n">
        <f aca="false">IF(AND(R58&gt;=0,Q58&lt;0),(R$37-1)+(-Q58)/(R58-Q58),"")</f>
        <v>10.2922729893042</v>
      </c>
      <c r="S59" s="83" t="str">
        <f aca="false">IF(AND(S58&gt;=0,R58&lt;0),(S$37-1)+(-R58)/(S58-R58),"")</f>
        <v/>
      </c>
    </row>
    <row r="61" customFormat="false" ht="18" hidden="false" customHeight="true" outlineLevel="0" collapsed="false">
      <c r="B61" s="19" t="str">
        <f aca="false">"Сценарий «"&amp;(Допущения!$F$80)&amp;"»: MAU ×"&amp;(FIXED(Допущения!$F$82,1))&amp;", eCPM ×"&amp;(FIXED(Допущения!$F$83,1))&amp;", конверсия ×"&amp;(FIXED(Допущения!$F$84,1))&amp;", маркетинг "&amp;(FIXED(Допущения!$F$85,0))&amp;" ₽/мес"</f>
        <v>Сценарий «Базовый»: MAU ×1.0, eCPM ×1.0, конверсия ×1.0, маркетинг 30,000 ₽/мес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</row>
    <row r="62" customFormat="false" ht="14.25" hidden="false" customHeight="false" outlineLevel="0" collapsed="false">
      <c r="B62" s="65" t="s">
        <v>59</v>
      </c>
      <c r="C62" s="27" t="s">
        <v>87</v>
      </c>
      <c r="D62" s="66" t="n">
        <f aca="false">INDEX($H$62:$S$62,1,Дев_мес)</f>
        <v>0</v>
      </c>
      <c r="E62" s="66" t="n">
        <f aca="false">IF(Опер_мес&gt;0,S62,"")</f>
        <v>20000</v>
      </c>
      <c r="F62" s="67" t="n">
        <f aca="false">S62</f>
        <v>20000</v>
      </c>
      <c r="H62" s="66" t="n">
        <f aca="false">Выручка!H12*Допущения!$F$82</f>
        <v>0</v>
      </c>
      <c r="I62" s="66" t="n">
        <f aca="false">Выручка!I12*Допущения!$F$82</f>
        <v>0</v>
      </c>
      <c r="J62" s="66" t="n">
        <f aca="false">Выручка!J12*Допущения!$F$82</f>
        <v>0</v>
      </c>
      <c r="K62" s="66" t="n">
        <f aca="false">Выручка!K12*Допущения!$F$82</f>
        <v>0</v>
      </c>
      <c r="L62" s="66" t="n">
        <f aca="false">Выручка!L12*Допущения!$F$82</f>
        <v>1500</v>
      </c>
      <c r="M62" s="66" t="n">
        <f aca="false">Выручка!M12*Допущения!$F$82</f>
        <v>3000</v>
      </c>
      <c r="N62" s="66" t="n">
        <f aca="false">Выручка!N12*Допущения!$F$82</f>
        <v>5000</v>
      </c>
      <c r="O62" s="66" t="n">
        <f aca="false">Выручка!O12*Допущения!$F$82</f>
        <v>7000</v>
      </c>
      <c r="P62" s="66" t="n">
        <f aca="false">Выручка!P12*Допущения!$F$82</f>
        <v>9000</v>
      </c>
      <c r="Q62" s="66" t="n">
        <f aca="false">Выручка!Q12*Допущения!$F$82</f>
        <v>12000</v>
      </c>
      <c r="R62" s="66" t="n">
        <f aca="false">Выручка!R12*Допущения!$F$82</f>
        <v>16000</v>
      </c>
      <c r="S62" s="66" t="n">
        <f aca="false">Выручка!S12*Допущения!$F$82</f>
        <v>20000</v>
      </c>
    </row>
    <row r="63" customFormat="false" ht="14.25" hidden="false" customHeight="false" outlineLevel="0" collapsed="false">
      <c r="B63" s="65" t="s">
        <v>221</v>
      </c>
      <c r="C63" s="27" t="s">
        <v>90</v>
      </c>
      <c r="D63" s="66" t="n">
        <f aca="false">SUMIF($H$39:$S$39,"Разработка",$H$63:$S$63)</f>
        <v>0</v>
      </c>
      <c r="E63" s="66" t="n">
        <f aca="false">SUMIF($H$39:$S$39,"Операционка",$H$63:$S$63)</f>
        <v>364317.75</v>
      </c>
      <c r="F63" s="67" t="n">
        <f aca="false">SUM($H$63:$S$63)</f>
        <v>364317.75</v>
      </c>
      <c r="H63" s="66" t="n">
        <f aca="false">H62*(Выручка!H41+Выручка!H42)*Допущения!$F$83</f>
        <v>0</v>
      </c>
      <c r="I63" s="66" t="n">
        <f aca="false">I62*(Выручка!I41+Выручка!I42)*Допущения!$F$83</f>
        <v>0</v>
      </c>
      <c r="J63" s="66" t="n">
        <f aca="false">J62*(Выручка!J41+Выручка!J42)*Допущения!$F$83</f>
        <v>0</v>
      </c>
      <c r="K63" s="66" t="n">
        <f aca="false">K62*(Выручка!K41+Выручка!K42)*Допущения!$F$83</f>
        <v>0</v>
      </c>
      <c r="L63" s="66" t="n">
        <f aca="false">L62*(Выручка!L41+Выручка!L42)*Допущения!$F$83</f>
        <v>7053.75</v>
      </c>
      <c r="M63" s="66" t="n">
        <f aca="false">M62*(Выручка!M41+Выручка!M42)*Допущения!$F$83</f>
        <v>14215.5</v>
      </c>
      <c r="N63" s="66" t="n">
        <f aca="false">N62*(Выручка!N41+Выручка!N42)*Допущения!$F$83</f>
        <v>24052.5</v>
      </c>
      <c r="O63" s="66" t="n">
        <f aca="false">O62*(Выручка!O41+Выручка!O42)*Допущения!$F$83</f>
        <v>34177.5</v>
      </c>
      <c r="P63" s="66" t="n">
        <f aca="false">P62*(Выручка!P41+Выручка!P42)*Допущения!$F$83</f>
        <v>44266.5</v>
      </c>
      <c r="Q63" s="66" t="n">
        <f aca="false">Q62*(Выручка!Q41+Выручка!Q42)*Допущения!$F$83</f>
        <v>59454</v>
      </c>
      <c r="R63" s="66" t="n">
        <f aca="false">R62*(Выручка!R41+Выручка!R42)*Допущения!$F$83</f>
        <v>79848</v>
      </c>
      <c r="S63" s="66" t="n">
        <f aca="false">S62*(Выручка!S41+Выручка!S42)*Допущения!$F$83</f>
        <v>101250</v>
      </c>
    </row>
    <row r="64" customFormat="false" ht="14.25" hidden="false" customHeight="false" outlineLevel="0" collapsed="false">
      <c r="B64" s="65" t="s">
        <v>378</v>
      </c>
      <c r="C64" s="27" t="s">
        <v>90</v>
      </c>
      <c r="D64" s="66" t="n">
        <f aca="false">SUMIF($H$39:$S$39,"Разработка",$H$64:$S$64)</f>
        <v>0</v>
      </c>
      <c r="E64" s="66" t="n">
        <f aca="false">SUMIF($H$39:$S$39,"Операционка",$H$64:$S$64)</f>
        <v>248198.4</v>
      </c>
      <c r="F64" s="67" t="n">
        <f aca="false">SUM($H$64:$S$64)</f>
        <v>248198.4</v>
      </c>
      <c r="H64" s="66" t="n">
        <f aca="false">ROUND(H62*(Выручка!H43*Допущения!$F$84),0)*Выручка!H30</f>
        <v>0</v>
      </c>
      <c r="I64" s="66" t="n">
        <f aca="false">ROUND(I62*(Выручка!I43*Допущения!$F$84),0)*Выручка!I30</f>
        <v>0</v>
      </c>
      <c r="J64" s="66" t="n">
        <f aca="false">ROUND(J62*(Выручка!J43*Допущения!$F$84),0)*Выручка!J30</f>
        <v>0</v>
      </c>
      <c r="K64" s="66" t="n">
        <f aca="false">ROUND(K62*(Выручка!K43*Допущения!$F$84),0)*Выручка!K30</f>
        <v>0</v>
      </c>
      <c r="L64" s="66" t="n">
        <f aca="false">ROUND(L62*(Выручка!L43*Допущения!$F$84),0)*Выручка!L30</f>
        <v>3251.6</v>
      </c>
      <c r="M64" s="66" t="n">
        <f aca="false">ROUND(M62*(Выручка!M43*Допущения!$F$84),0)*Выручка!M30</f>
        <v>7163.2</v>
      </c>
      <c r="N64" s="66" t="n">
        <f aca="false">ROUND(N62*(Выручка!N43*Допущения!$F$84),0)*Выручка!N30</f>
        <v>12752.8</v>
      </c>
      <c r="O64" s="66" t="n">
        <f aca="false">ROUND(O62*(Выручка!O43*Допущения!$F$84),0)*Выручка!O30</f>
        <v>19353.6</v>
      </c>
      <c r="P64" s="66" t="n">
        <f aca="false">ROUND(P62*(Выручка!P43*Допущения!$F$84),0)*Выручка!P30</f>
        <v>27381.2</v>
      </c>
      <c r="Q64" s="66" t="n">
        <f aca="false">ROUND(Q62*(Выручка!Q43*Допущения!$F$84),0)*Выручка!Q30</f>
        <v>40564.8</v>
      </c>
      <c r="R64" s="66" t="n">
        <f aca="false">ROUND(R62*(Выручка!R43*Допущения!$F$84),0)*Выручка!R30</f>
        <v>58611.2</v>
      </c>
      <c r="S64" s="66" t="n">
        <f aca="false">ROUND(S62*(Выручка!S43*Допущения!$F$84),0)*Выручка!S30</f>
        <v>79120</v>
      </c>
    </row>
    <row r="65" customFormat="false" ht="14.25" hidden="false" customHeight="false" outlineLevel="0" collapsed="false">
      <c r="B65" s="68" t="s">
        <v>295</v>
      </c>
      <c r="C65" s="69" t="s">
        <v>90</v>
      </c>
      <c r="D65" s="70" t="n">
        <f aca="false">SUMIF($H$39:$S$39,"Разработка",$H$65:$S$65)</f>
        <v>0</v>
      </c>
      <c r="E65" s="70" t="n">
        <f aca="false">SUMIF($H$39:$S$39,"Операционка",$H$65:$S$65)</f>
        <v>612516.15</v>
      </c>
      <c r="F65" s="70" t="n">
        <f aca="false">SUM($H$65:$S$65)</f>
        <v>612516.15</v>
      </c>
      <c r="H65" s="70" t="n">
        <f aca="false">H63+H64</f>
        <v>0</v>
      </c>
      <c r="I65" s="70" t="n">
        <f aca="false">I63+I64</f>
        <v>0</v>
      </c>
      <c r="J65" s="70" t="n">
        <f aca="false">J63+J64</f>
        <v>0</v>
      </c>
      <c r="K65" s="70" t="n">
        <f aca="false">K63+K64</f>
        <v>0</v>
      </c>
      <c r="L65" s="70" t="n">
        <f aca="false">L63+L64</f>
        <v>10305.35</v>
      </c>
      <c r="M65" s="70" t="n">
        <f aca="false">M63+M64</f>
        <v>21378.7</v>
      </c>
      <c r="N65" s="70" t="n">
        <f aca="false">N63+N64</f>
        <v>36805.3</v>
      </c>
      <c r="O65" s="70" t="n">
        <f aca="false">O63+O64</f>
        <v>53531.1</v>
      </c>
      <c r="P65" s="70" t="n">
        <f aca="false">P63+P64</f>
        <v>71647.7</v>
      </c>
      <c r="Q65" s="70" t="n">
        <f aca="false">Q63+Q64</f>
        <v>100018.8</v>
      </c>
      <c r="R65" s="70" t="n">
        <f aca="false">R63+R64</f>
        <v>138459.2</v>
      </c>
      <c r="S65" s="70" t="n">
        <f aca="false">S63+S64</f>
        <v>180370</v>
      </c>
    </row>
    <row r="66" customFormat="false" ht="14.25" hidden="false" customHeight="false" outlineLevel="0" collapsed="false">
      <c r="B66" s="65" t="s">
        <v>379</v>
      </c>
      <c r="C66" s="27" t="s">
        <v>90</v>
      </c>
      <c r="D66" s="66" t="n">
        <f aca="false">SUMIF($H$39:$S$39,"Разработка",$H$66:$S$66)</f>
        <v>0</v>
      </c>
      <c r="E66" s="66" t="n">
        <f aca="false">SUMIF($H$39:$S$39,"Операционка",$H$66:$S$66)</f>
        <v>37229.76</v>
      </c>
      <c r="F66" s="67" t="n">
        <f aca="false">SUM($H$66:$S$66)</f>
        <v>37229.76</v>
      </c>
      <c r="H66" s="66" t="n">
        <f aca="false">H64*Комиссия_стора</f>
        <v>0</v>
      </c>
      <c r="I66" s="66" t="n">
        <f aca="false">I64*Комиссия_стора</f>
        <v>0</v>
      </c>
      <c r="J66" s="66" t="n">
        <f aca="false">J64*Комиссия_стора</f>
        <v>0</v>
      </c>
      <c r="K66" s="66" t="n">
        <f aca="false">K64*Комиссия_стора</f>
        <v>0</v>
      </c>
      <c r="L66" s="66" t="n">
        <f aca="false">L64*Комиссия_стора</f>
        <v>487.74</v>
      </c>
      <c r="M66" s="66" t="n">
        <f aca="false">M64*Комиссия_стора</f>
        <v>1074.48</v>
      </c>
      <c r="N66" s="66" t="n">
        <f aca="false">N64*Комиссия_стора</f>
        <v>1912.92</v>
      </c>
      <c r="O66" s="66" t="n">
        <f aca="false">O64*Комиссия_стора</f>
        <v>2903.04</v>
      </c>
      <c r="P66" s="66" t="n">
        <f aca="false">P64*Комиссия_стора</f>
        <v>4107.18</v>
      </c>
      <c r="Q66" s="66" t="n">
        <f aca="false">Q64*Комиссия_стора</f>
        <v>6084.72</v>
      </c>
      <c r="R66" s="66" t="n">
        <f aca="false">R64*Комиссия_стора</f>
        <v>8791.68</v>
      </c>
      <c r="S66" s="66" t="n">
        <f aca="false">S64*Комиссия_стора</f>
        <v>11868</v>
      </c>
    </row>
    <row r="67" customFormat="false" ht="14.25" hidden="false" customHeight="false" outlineLevel="0" collapsed="false">
      <c r="B67" s="65" t="s">
        <v>285</v>
      </c>
      <c r="C67" s="27" t="s">
        <v>90</v>
      </c>
      <c r="D67" s="66" t="n">
        <f aca="false">SUMIF($H$39:$S$39,"Разработка",$H$67:$S$67)</f>
        <v>52000</v>
      </c>
      <c r="E67" s="66" t="n">
        <f aca="false">SUMIF($H$39:$S$39,"Операционка",$H$67:$S$67)</f>
        <v>412651.25</v>
      </c>
      <c r="F67" s="67" t="n">
        <f aca="false">SUM($H$67:$S$67)</f>
        <v>464651.25</v>
      </c>
      <c r="H67" s="66" t="n">
        <f aca="false">(Расходы!H12-Энергия!H39+H62*Энергия!H40)+Расходы!H13+Расходы!H14+IF(H$39="Разработка",Расходы!H15,Допущения!$F$85)</f>
        <v>4000</v>
      </c>
      <c r="I67" s="66" t="n">
        <f aca="false">(Расходы!I12-Энергия!I39+I62*Энергия!I40)+Расходы!I13+Расходы!I14+IF(I$39="Разработка",Расходы!I15,Допущения!$F$85)</f>
        <v>6000</v>
      </c>
      <c r="J67" s="66" t="n">
        <f aca="false">(Расходы!J12-Энергия!J39+J62*Энергия!J40)+Расходы!J13+Расходы!J14+IF(J$39="Разработка",Расходы!J15,Допущения!$F$85)</f>
        <v>16000</v>
      </c>
      <c r="K67" s="66" t="n">
        <f aca="false">(Расходы!K12-Энергия!K39+K62*Энергия!K40)+Расходы!K13+Расходы!K14+IF(K$39="Разработка",Расходы!K15,Допущения!$F$85)</f>
        <v>26000</v>
      </c>
      <c r="L67" s="66" t="n">
        <f aca="false">(Расходы!L12-Энергия!L39+L62*Энергия!L40)+Расходы!L13+Расходы!L14+IF(L$39="Разработка",Расходы!L15,Допущения!$F$85)</f>
        <v>46911.25</v>
      </c>
      <c r="M67" s="66" t="n">
        <f aca="false">(Расходы!M12-Энергия!M39+M62*Энергия!M40)+Расходы!M13+Расходы!M14+IF(M$39="Разработка",Расходы!M15,Допущения!$F$85)</f>
        <v>47822.5</v>
      </c>
      <c r="N67" s="66" t="n">
        <f aca="false">(Расходы!N12-Энергия!N39+N62*Энергия!N40)+Расходы!N13+Расходы!N14+IF(N$39="Разработка",Расходы!N15,Допущения!$F$85)</f>
        <v>49037.5</v>
      </c>
      <c r="O67" s="66" t="n">
        <f aca="false">(Расходы!O12-Энергия!O39+O62*Энергия!O40)+Расходы!O13+Расходы!O14+IF(O$39="Разработка",Расходы!O15,Допущения!$F$85)</f>
        <v>50252.5</v>
      </c>
      <c r="P67" s="66" t="n">
        <f aca="false">(Расходы!P12-Энергия!P39+P62*Энергия!P40)+Расходы!P13+Расходы!P14+IF(P$39="Разработка",Расходы!P15,Допущения!$F$85)</f>
        <v>51467.5</v>
      </c>
      <c r="Q67" s="66" t="n">
        <f aca="false">(Расходы!Q12-Энергия!Q39+Q62*Энергия!Q40)+Расходы!Q13+Расходы!Q14+IF(Q$39="Разработка",Расходы!Q15,Допущения!$F$85)</f>
        <v>53290</v>
      </c>
      <c r="R67" s="66" t="n">
        <f aca="false">(Расходы!R12-Энергия!R39+R62*Энергия!R40)+Расходы!R13+Расходы!R14+IF(R$39="Разработка",Расходы!R15,Допущения!$F$85)</f>
        <v>55720</v>
      </c>
      <c r="S67" s="66" t="n">
        <f aca="false">(Расходы!S12-Энергия!S39+S62*Энергия!S40)+Расходы!S13+Расходы!S14+IF(S$39="Разработка",Расходы!S15,Допущения!$F$85)</f>
        <v>58150</v>
      </c>
    </row>
    <row r="68" customFormat="false" ht="14.25" hidden="false" customHeight="false" outlineLevel="0" collapsed="false">
      <c r="B68" s="68" t="s">
        <v>48</v>
      </c>
      <c r="C68" s="69" t="s">
        <v>90</v>
      </c>
      <c r="D68" s="70" t="n">
        <f aca="false">SUMIF($H$39:$S$39,"Разработка",$H$68:$S$68)</f>
        <v>-52000</v>
      </c>
      <c r="E68" s="70" t="n">
        <f aca="false">SUMIF($H$39:$S$39,"Операционка",$H$68:$S$68)</f>
        <v>162635.14</v>
      </c>
      <c r="F68" s="70" t="n">
        <f aca="false">SUM($H$68:$S$68)</f>
        <v>110635.14</v>
      </c>
      <c r="H68" s="70" t="n">
        <f aca="false">H65-H66-H67</f>
        <v>-4000</v>
      </c>
      <c r="I68" s="70" t="n">
        <f aca="false">I65-I66-I67</f>
        <v>-6000</v>
      </c>
      <c r="J68" s="70" t="n">
        <f aca="false">J65-J66-J67</f>
        <v>-16000</v>
      </c>
      <c r="K68" s="70" t="n">
        <f aca="false">K65-K66-K67</f>
        <v>-26000</v>
      </c>
      <c r="L68" s="70" t="n">
        <f aca="false">L65-L66-L67</f>
        <v>-37093.64</v>
      </c>
      <c r="M68" s="70" t="n">
        <f aca="false">M65-M66-M67</f>
        <v>-27518.28</v>
      </c>
      <c r="N68" s="70" t="n">
        <f aca="false">N65-N66-N67</f>
        <v>-14145.12</v>
      </c>
      <c r="O68" s="70" t="n">
        <f aca="false">O65-O66-O67</f>
        <v>375.560000000005</v>
      </c>
      <c r="P68" s="70" t="n">
        <f aca="false">P65-P66-P67</f>
        <v>16073.02</v>
      </c>
      <c r="Q68" s="70" t="n">
        <f aca="false">Q65-Q66-Q67</f>
        <v>40644.08</v>
      </c>
      <c r="R68" s="70" t="n">
        <f aca="false">R65-R66-R67</f>
        <v>73947.52</v>
      </c>
      <c r="S68" s="70" t="n">
        <f aca="false">S65-S66-S67</f>
        <v>110352</v>
      </c>
    </row>
    <row r="69" customFormat="false" ht="14.25" hidden="true" customHeight="false" outlineLevel="0" collapsed="false">
      <c r="B69" s="65" t="s">
        <v>380</v>
      </c>
      <c r="C69" s="27" t="s">
        <v>90</v>
      </c>
      <c r="D69" s="66" t="n">
        <f aca="false">SUMIF($H$39:$S$39,"Разработка",$H$69:$S$69)</f>
        <v>0</v>
      </c>
      <c r="E69" s="66" t="n">
        <f aca="false">SUMIF($H$39:$S$39,"Операционка",$H$69:$S$69)</f>
        <v>0</v>
      </c>
      <c r="F69" s="67" t="n">
        <f aca="false">SUM($H$69:$S$69)</f>
        <v>0</v>
      </c>
      <c r="H69" s="98" t="n">
        <f aca="false">0</f>
        <v>0</v>
      </c>
      <c r="I69" s="98" t="n">
        <f aca="false">0</f>
        <v>0</v>
      </c>
      <c r="J69" s="98" t="n">
        <f aca="false">0</f>
        <v>0</v>
      </c>
      <c r="K69" s="98" t="n">
        <f aca="false">0</f>
        <v>0</v>
      </c>
      <c r="L69" s="98" t="n">
        <f aca="false">0</f>
        <v>0</v>
      </c>
      <c r="M69" s="98" t="n">
        <f aca="false">0</f>
        <v>0</v>
      </c>
      <c r="N69" s="98" t="n">
        <f aca="false">0</f>
        <v>0</v>
      </c>
      <c r="O69" s="98" t="n">
        <f aca="false">0</f>
        <v>0</v>
      </c>
      <c r="P69" s="98" t="n">
        <f aca="false">0</f>
        <v>0</v>
      </c>
      <c r="Q69" s="98" t="n">
        <f aca="false">0</f>
        <v>0</v>
      </c>
      <c r="R69" s="98" t="n">
        <f aca="false">0</f>
        <v>0</v>
      </c>
      <c r="S69" s="98" t="n">
        <f aca="false">0</f>
        <v>0</v>
      </c>
    </row>
    <row r="70" customFormat="false" ht="14.25" hidden="false" customHeight="false" outlineLevel="0" collapsed="false">
      <c r="B70" s="82" t="s">
        <v>381</v>
      </c>
      <c r="C70" s="27" t="s">
        <v>90</v>
      </c>
      <c r="D70" s="105" t="n">
        <f aca="false">INDEX($H$70:$S$70,1,Дев_мес)</f>
        <v>0</v>
      </c>
      <c r="E70" s="105" t="n">
        <f aca="false">IF(Опер_мес&gt;0,S70,"")</f>
        <v>612516.15</v>
      </c>
      <c r="F70" s="105" t="n">
        <f aca="false">S70</f>
        <v>612516.15</v>
      </c>
      <c r="H70" s="105" t="n">
        <f aca="false">IF(H$37-Лаг_выручки&gt;=1,INDEX($H65:$S65,1,H$37-Лаг_выручки),0)</f>
        <v>0</v>
      </c>
      <c r="I70" s="105" t="n">
        <f aca="false">IF(YEAR(I$38)=YEAR(H$38),H70,0)+IF(I$37-Лаг_выручки&gt;=1,INDEX($H65:$S65,1,I$37-Лаг_выручки),0)</f>
        <v>0</v>
      </c>
      <c r="J70" s="105" t="n">
        <f aca="false">IF(YEAR(J$38)=YEAR(I$38),I70,0)+IF(J$37-Лаг_выручки&gt;=1,INDEX($H65:$S65,1,J$37-Лаг_выручки),0)</f>
        <v>0</v>
      </c>
      <c r="K70" s="105" t="n">
        <f aca="false">IF(YEAR(K$38)=YEAR(J$38),J70,0)+IF(K$37-Лаг_выручки&gt;=1,INDEX($H65:$S65,1,K$37-Лаг_выручки),0)</f>
        <v>0</v>
      </c>
      <c r="L70" s="105" t="n">
        <f aca="false">IF(YEAR(L$38)=YEAR(K$38),K70,0)+IF(L$37-Лаг_выручки&gt;=1,INDEX($H65:$S65,1,L$37-Лаг_выручки),0)</f>
        <v>10305.35</v>
      </c>
      <c r="M70" s="105" t="n">
        <f aca="false">IF(YEAR(M$38)=YEAR(L$38),L70,0)+IF(M$37-Лаг_выручки&gt;=1,INDEX($H65:$S65,1,M$37-Лаг_выручки),0)</f>
        <v>31684.05</v>
      </c>
      <c r="N70" s="105" t="n">
        <f aca="false">IF(YEAR(N$38)=YEAR(M$38),M70,0)+IF(N$37-Лаг_выручки&gt;=1,INDEX($H65:$S65,1,N$37-Лаг_выручки),0)</f>
        <v>68489.35</v>
      </c>
      <c r="O70" s="105" t="n">
        <f aca="false">IF(YEAR(O$38)=YEAR(N$38),N70,0)+IF(O$37-Лаг_выручки&gt;=1,INDEX($H65:$S65,1,O$37-Лаг_выручки),0)</f>
        <v>122020.45</v>
      </c>
      <c r="P70" s="105" t="n">
        <f aca="false">IF(YEAR(P$38)=YEAR(O$38),O70,0)+IF(P$37-Лаг_выручки&gt;=1,INDEX($H65:$S65,1,P$37-Лаг_выручки),0)</f>
        <v>193668.15</v>
      </c>
      <c r="Q70" s="105" t="n">
        <f aca="false">IF(YEAR(Q$38)=YEAR(P$38),P70,0)+IF(Q$37-Лаг_выручки&gt;=1,INDEX($H65:$S65,1,Q$37-Лаг_выручки),0)</f>
        <v>293686.95</v>
      </c>
      <c r="R70" s="105" t="n">
        <f aca="false">IF(YEAR(R$38)=YEAR(Q$38),Q70,0)+IF(R$37-Лаг_выручки&gt;=1,INDEX($H65:$S65,1,R$37-Лаг_выручки),0)</f>
        <v>432146.15</v>
      </c>
      <c r="S70" s="105" t="n">
        <f aca="false">IF(YEAR(S$38)=YEAR(R$38),R70,0)+IF(S$37-Лаг_выручки&gt;=1,INDEX($H65:$S65,1,S$37-Лаг_выручки),0)</f>
        <v>612516.15</v>
      </c>
    </row>
    <row r="71" customFormat="false" ht="14.25" hidden="false" customHeight="false" outlineLevel="0" collapsed="false">
      <c r="B71" s="82" t="s">
        <v>314</v>
      </c>
      <c r="C71" s="27" t="s">
        <v>90</v>
      </c>
      <c r="D71" s="105" t="n">
        <f aca="false">INDEX($H$71:$S$71,1,Дев_мес)</f>
        <v>0</v>
      </c>
      <c r="E71" s="105" t="n">
        <f aca="false">IF(Опер_мес&gt;0,S71,"")</f>
        <v>0</v>
      </c>
      <c r="F71" s="105" t="n">
        <f aca="false">S71</f>
        <v>0</v>
      </c>
      <c r="H71" s="105" t="n">
        <f aca="false">MAX(0,Ставка_УСН*H70-MIN(Взносы_вычет,Лимит_вычета*Ставка_УСН*H70))</f>
        <v>0</v>
      </c>
      <c r="I71" s="105" t="n">
        <f aca="false">MAX(0,Ставка_УСН*I70-MIN(Взносы_вычет,Лимит_вычета*Ставка_УСН*I70))</f>
        <v>0</v>
      </c>
      <c r="J71" s="105" t="n">
        <f aca="false">MAX(0,Ставка_УСН*J70-MIN(Взносы_вычет,Лимит_вычета*Ставка_УСН*J70))</f>
        <v>0</v>
      </c>
      <c r="K71" s="105" t="n">
        <f aca="false">MAX(0,Ставка_УСН*K70-MIN(Взносы_вычет,Лимит_вычета*Ставка_УСН*K70))</f>
        <v>0</v>
      </c>
      <c r="L71" s="105" t="n">
        <f aca="false">MAX(0,Ставка_УСН*L70-MIN(Взносы_вычет,Лимит_вычета*Ставка_УСН*L70))</f>
        <v>0</v>
      </c>
      <c r="M71" s="105" t="n">
        <f aca="false">MAX(0,Ставка_УСН*M70-MIN(Взносы_вычет,Лимит_вычета*Ставка_УСН*M70))</f>
        <v>0</v>
      </c>
      <c r="N71" s="105" t="n">
        <f aca="false">MAX(0,Ставка_УСН*N70-MIN(Взносы_вычет,Лимит_вычета*Ставка_УСН*N70))</f>
        <v>0</v>
      </c>
      <c r="O71" s="105" t="n">
        <f aca="false">MAX(0,Ставка_УСН*O70-MIN(Взносы_вычет,Лимит_вычета*Ставка_УСН*O70))</f>
        <v>0</v>
      </c>
      <c r="P71" s="105" t="n">
        <f aca="false">MAX(0,Ставка_УСН*P70-MIN(Взносы_вычет,Лимит_вычета*Ставка_УСН*P70))</f>
        <v>0</v>
      </c>
      <c r="Q71" s="105" t="n">
        <f aca="false">MAX(0,Ставка_УСН*Q70-MIN(Взносы_вычет,Лимит_вычета*Ставка_УСН*Q70))</f>
        <v>0</v>
      </c>
      <c r="R71" s="105" t="n">
        <f aca="false">MAX(0,Ставка_УСН*R70-MIN(Взносы_вычет,Лимит_вычета*Ставка_УСН*R70))</f>
        <v>0</v>
      </c>
      <c r="S71" s="105" t="n">
        <f aca="false">MAX(0,Ставка_УСН*S70-MIN(Взносы_вычет,Лимит_вычета*Ставка_УСН*S70))</f>
        <v>0</v>
      </c>
    </row>
    <row r="72" customFormat="false" ht="14.25" hidden="false" customHeight="false" outlineLevel="0" collapsed="false">
      <c r="B72" s="65" t="s">
        <v>382</v>
      </c>
      <c r="C72" s="27" t="s">
        <v>90</v>
      </c>
      <c r="D72" s="66" t="n">
        <f aca="false">SUMIF($H$39:$S$39,"Разработка",$H$72:$S$72)</f>
        <v>0</v>
      </c>
      <c r="E72" s="66" t="n">
        <f aca="false">SUMIF($H$39:$S$39,"Операционка",$H$72:$S$72)</f>
        <v>0</v>
      </c>
      <c r="F72" s="67" t="n">
        <f aca="false">SUM($H$72:$S$72)</f>
        <v>0</v>
      </c>
      <c r="H72" s="66" t="n">
        <f aca="false">H71</f>
        <v>0</v>
      </c>
      <c r="I72" s="66" t="n">
        <f aca="false">I71-IF(YEAR(I$38)=YEAR(H$38),H71,0)</f>
        <v>0</v>
      </c>
      <c r="J72" s="66" t="n">
        <f aca="false">J71-IF(YEAR(J$38)=YEAR(I$38),I71,0)</f>
        <v>0</v>
      </c>
      <c r="K72" s="66" t="n">
        <f aca="false">K71-IF(YEAR(K$38)=YEAR(J$38),J71,0)</f>
        <v>0</v>
      </c>
      <c r="L72" s="66" t="n">
        <f aca="false">L71-IF(YEAR(L$38)=YEAR(K$38),K71,0)</f>
        <v>0</v>
      </c>
      <c r="M72" s="66" t="n">
        <f aca="false">M71-IF(YEAR(M$38)=YEAR(L$38),L71,0)</f>
        <v>0</v>
      </c>
      <c r="N72" s="66" t="n">
        <f aca="false">N71-IF(YEAR(N$38)=YEAR(M$38),M71,0)</f>
        <v>0</v>
      </c>
      <c r="O72" s="66" t="n">
        <f aca="false">O71-IF(YEAR(O$38)=YEAR(N$38),N71,0)</f>
        <v>0</v>
      </c>
      <c r="P72" s="66" t="n">
        <f aca="false">P71-IF(YEAR(P$38)=YEAR(O$38),O71,0)</f>
        <v>0</v>
      </c>
      <c r="Q72" s="66" t="n">
        <f aca="false">Q71-IF(YEAR(Q$38)=YEAR(P$38),P71,0)</f>
        <v>0</v>
      </c>
      <c r="R72" s="66" t="n">
        <f aca="false">R71-IF(YEAR(R$38)=YEAR(Q$38),Q71,0)</f>
        <v>0</v>
      </c>
      <c r="S72" s="66" t="n">
        <f aca="false">S71-IF(YEAR(S$38)=YEAR(R$38),R71,0)</f>
        <v>0</v>
      </c>
    </row>
    <row r="73" customFormat="false" ht="14.25" hidden="false" customHeight="false" outlineLevel="0" collapsed="false">
      <c r="B73" s="99" t="s">
        <v>12</v>
      </c>
      <c r="C73" s="100" t="s">
        <v>90</v>
      </c>
      <c r="D73" s="101" t="n">
        <f aca="false">SUMIF($H$39:$S$39,"Разработка",$H$73:$S$73)</f>
        <v>-52000</v>
      </c>
      <c r="E73" s="101" t="n">
        <f aca="false">SUMIF($H$39:$S$39,"Операционка",$H$73:$S$73)</f>
        <v>162635.14</v>
      </c>
      <c r="F73" s="101" t="n">
        <f aca="false">SUM($H$73:$S$73)</f>
        <v>110635.14</v>
      </c>
      <c r="G73" s="102"/>
      <c r="H73" s="101" t="n">
        <f aca="false">H68-H69-H72</f>
        <v>-4000</v>
      </c>
      <c r="I73" s="101" t="n">
        <f aca="false">I68-I69-I72</f>
        <v>-6000</v>
      </c>
      <c r="J73" s="101" t="n">
        <f aca="false">J68-J69-J72</f>
        <v>-16000</v>
      </c>
      <c r="K73" s="101" t="n">
        <f aca="false">K68-K69-K72</f>
        <v>-26000</v>
      </c>
      <c r="L73" s="101" t="n">
        <f aca="false">L68-L69-L72</f>
        <v>-37093.64</v>
      </c>
      <c r="M73" s="101" t="n">
        <f aca="false">M68-M69-M72</f>
        <v>-27518.28</v>
      </c>
      <c r="N73" s="101" t="n">
        <f aca="false">N68-N69-N72</f>
        <v>-14145.12</v>
      </c>
      <c r="O73" s="101" t="n">
        <f aca="false">O68-O69-O72</f>
        <v>375.560000000005</v>
      </c>
      <c r="P73" s="101" t="n">
        <f aca="false">P68-P69-P72</f>
        <v>16073.02</v>
      </c>
      <c r="Q73" s="101" t="n">
        <f aca="false">Q68-Q69-Q72</f>
        <v>40644.08</v>
      </c>
      <c r="R73" s="101" t="n">
        <f aca="false">R68-R69-R72</f>
        <v>73947.52</v>
      </c>
      <c r="S73" s="101" t="n">
        <f aca="false">S68-S69-S72</f>
        <v>110352</v>
      </c>
    </row>
    <row r="74" customFormat="false" ht="14.25" hidden="false" customHeight="false" outlineLevel="0" collapsed="false">
      <c r="B74" s="65" t="s">
        <v>383</v>
      </c>
      <c r="C74" s="27" t="s">
        <v>90</v>
      </c>
      <c r="D74" s="66" t="n">
        <f aca="false">SUMIF($H$39:$S$39,"Разработка",$H$74:$S$74)</f>
        <v>0</v>
      </c>
      <c r="E74" s="66" t="n">
        <f aca="false">SUMIF($H$39:$S$39,"Операционка",$H$74:$S$74)</f>
        <v>575286.39</v>
      </c>
      <c r="F74" s="67" t="n">
        <f aca="false">SUM($H$74:$S$74)</f>
        <v>575286.39</v>
      </c>
      <c r="H74" s="66" t="n">
        <f aca="false">IF(H$37-Лаг_выручки&gt;=1,INDEX($H65:$S65,1,H$37-Лаг_выручки)-INDEX($H66:$S66,1,H$37-Лаг_выручки),0)</f>
        <v>0</v>
      </c>
      <c r="I74" s="66" t="n">
        <f aca="false">IF(I$37-Лаг_выручки&gt;=1,INDEX($H65:$S65,1,I$37-Лаг_выручки)-INDEX($H66:$S66,1,I$37-Лаг_выручки),0)</f>
        <v>0</v>
      </c>
      <c r="J74" s="66" t="n">
        <f aca="false">IF(J$37-Лаг_выручки&gt;=1,INDEX($H65:$S65,1,J$37-Лаг_выручки)-INDEX($H66:$S66,1,J$37-Лаг_выручки),0)</f>
        <v>0</v>
      </c>
      <c r="K74" s="66" t="n">
        <f aca="false">IF(K$37-Лаг_выручки&gt;=1,INDEX($H65:$S65,1,K$37-Лаг_выручки)-INDEX($H66:$S66,1,K$37-Лаг_выручки),0)</f>
        <v>0</v>
      </c>
      <c r="L74" s="66" t="n">
        <f aca="false">IF(L$37-Лаг_выручки&gt;=1,INDEX($H65:$S65,1,L$37-Лаг_выручки)-INDEX($H66:$S66,1,L$37-Лаг_выручки),0)</f>
        <v>9817.61</v>
      </c>
      <c r="M74" s="66" t="n">
        <f aca="false">IF(M$37-Лаг_выручки&gt;=1,INDEX($H65:$S65,1,M$37-Лаг_выручки)-INDEX($H66:$S66,1,M$37-Лаг_выручки),0)</f>
        <v>20304.22</v>
      </c>
      <c r="N74" s="66" t="n">
        <f aca="false">IF(N$37-Лаг_выручки&gt;=1,INDEX($H65:$S65,1,N$37-Лаг_выручки)-INDEX($H66:$S66,1,N$37-Лаг_выручки),0)</f>
        <v>34892.38</v>
      </c>
      <c r="O74" s="66" t="n">
        <f aca="false">IF(O$37-Лаг_выручки&gt;=1,INDEX($H65:$S65,1,O$37-Лаг_выручки)-INDEX($H66:$S66,1,O$37-Лаг_выручки),0)</f>
        <v>50628.06</v>
      </c>
      <c r="P74" s="66" t="n">
        <f aca="false">IF(P$37-Лаг_выручки&gt;=1,INDEX($H65:$S65,1,P$37-Лаг_выручки)-INDEX($H66:$S66,1,P$37-Лаг_выручки),0)</f>
        <v>67540.52</v>
      </c>
      <c r="Q74" s="66" t="n">
        <f aca="false">IF(Q$37-Лаг_выручки&gt;=1,INDEX($H65:$S65,1,Q$37-Лаг_выручки)-INDEX($H66:$S66,1,Q$37-Лаг_выручки),0)</f>
        <v>93934.08</v>
      </c>
      <c r="R74" s="66" t="n">
        <f aca="false">IF(R$37-Лаг_выручки&gt;=1,INDEX($H65:$S65,1,R$37-Лаг_выручки)-INDEX($H66:$S66,1,R$37-Лаг_выручки),0)</f>
        <v>129667.52</v>
      </c>
      <c r="S74" s="66" t="n">
        <f aca="false">IF(S$37-Лаг_выручки&gt;=1,INDEX($H65:$S65,1,S$37-Лаг_выручки)-INDEX($H66:$S66,1,S$37-Лаг_выручки),0)</f>
        <v>168502</v>
      </c>
    </row>
    <row r="75" customFormat="false" ht="14.25" hidden="false" customHeight="false" outlineLevel="0" collapsed="false">
      <c r="B75" s="65" t="s">
        <v>60</v>
      </c>
      <c r="C75" s="27" t="s">
        <v>90</v>
      </c>
      <c r="D75" s="66" t="n">
        <f aca="false">SUMIF($H$39:$S$39,"Разработка",$H$75:$S$75)</f>
        <v>148000</v>
      </c>
      <c r="E75" s="66" t="n">
        <f aca="false">SUMIF($H$39:$S$39,"Операционка",$H$75:$S$75)</f>
        <v>162635.14</v>
      </c>
      <c r="F75" s="67" t="n">
        <f aca="false">SUM($H$75:$S$75)</f>
        <v>310635.14</v>
      </c>
      <c r="H75" s="66" t="n">
        <f aca="false">H74-H67-H72-H69+ДДС!H13</f>
        <v>196000</v>
      </c>
      <c r="I75" s="66" t="n">
        <f aca="false">I74-I67-I72-I69+ДДС!I13</f>
        <v>-6000</v>
      </c>
      <c r="J75" s="66" t="n">
        <f aca="false">J74-J67-J72-J69+ДДС!J13</f>
        <v>-16000</v>
      </c>
      <c r="K75" s="66" t="n">
        <f aca="false">K74-K67-K72-K69+ДДС!K13</f>
        <v>-26000</v>
      </c>
      <c r="L75" s="66" t="n">
        <f aca="false">L74-L67-L72-L69+ДДС!L13</f>
        <v>-37093.64</v>
      </c>
      <c r="M75" s="66" t="n">
        <f aca="false">M74-M67-M72-M69+ДДС!M13</f>
        <v>-27518.28</v>
      </c>
      <c r="N75" s="66" t="n">
        <f aca="false">N74-N67-N72-N69+ДДС!N13</f>
        <v>-14145.12</v>
      </c>
      <c r="O75" s="66" t="n">
        <f aca="false">O74-O67-O72-O69+ДДС!O13</f>
        <v>375.560000000005</v>
      </c>
      <c r="P75" s="66" t="n">
        <f aca="false">P74-P67-P72-P69+ДДС!P13</f>
        <v>16073.02</v>
      </c>
      <c r="Q75" s="66" t="n">
        <f aca="false">Q74-Q67-Q72-Q69+ДДС!Q13</f>
        <v>40644.08</v>
      </c>
      <c r="R75" s="66" t="n">
        <f aca="false">R74-R67-R72-R69+ДДС!R13</f>
        <v>73947.52</v>
      </c>
      <c r="S75" s="66" t="n">
        <f aca="false">S74-S67-S72-S69+ДДС!S13</f>
        <v>110352</v>
      </c>
    </row>
    <row r="76" customFormat="false" ht="14.25" hidden="false" customHeight="false" outlineLevel="0" collapsed="false">
      <c r="B76" s="68" t="s">
        <v>331</v>
      </c>
      <c r="C76" s="69" t="s">
        <v>90</v>
      </c>
      <c r="D76" s="70" t="n">
        <f aca="false">INDEX($H$76:$S$76,1,Дев_мес)</f>
        <v>148000</v>
      </c>
      <c r="E76" s="70" t="n">
        <f aca="false">IF(Опер_мес&gt;0,S76,"")</f>
        <v>310635.14</v>
      </c>
      <c r="F76" s="70" t="n">
        <f aca="false">S76</f>
        <v>310635.14</v>
      </c>
      <c r="H76" s="70" t="n">
        <f aca="false">H75</f>
        <v>196000</v>
      </c>
      <c r="I76" s="70" t="n">
        <f aca="false">H76+I75</f>
        <v>190000</v>
      </c>
      <c r="J76" s="70" t="n">
        <f aca="false">I76+J75</f>
        <v>174000</v>
      </c>
      <c r="K76" s="70" t="n">
        <f aca="false">J76+K75</f>
        <v>148000</v>
      </c>
      <c r="L76" s="70" t="n">
        <f aca="false">K76+L75</f>
        <v>110906.36</v>
      </c>
      <c r="M76" s="70" t="n">
        <f aca="false">L76+M75</f>
        <v>83388.08</v>
      </c>
      <c r="N76" s="70" t="n">
        <f aca="false">M76+N75</f>
        <v>69242.96</v>
      </c>
      <c r="O76" s="70" t="n">
        <f aca="false">N76+O75</f>
        <v>69618.52</v>
      </c>
      <c r="P76" s="70" t="n">
        <f aca="false">O76+P75</f>
        <v>85691.54</v>
      </c>
      <c r="Q76" s="70" t="n">
        <f aca="false">P76+Q75</f>
        <v>126335.62</v>
      </c>
      <c r="R76" s="70" t="n">
        <f aca="false">Q76+R75</f>
        <v>200283.14</v>
      </c>
      <c r="S76" s="70" t="n">
        <f aca="false">R76+S75</f>
        <v>310635.14</v>
      </c>
    </row>
    <row r="77" customFormat="false" ht="14.25" hidden="false" customHeight="false" outlineLevel="0" collapsed="false">
      <c r="B77" s="65" t="s">
        <v>337</v>
      </c>
      <c r="C77" s="27" t="s">
        <v>90</v>
      </c>
      <c r="D77" s="66" t="n">
        <f aca="false">INDEX($H$77:$S$77,1,Дев_мес)</f>
        <v>-52000</v>
      </c>
      <c r="E77" s="66" t="n">
        <f aca="false">IF(Опер_мес&gt;0,S77,"")</f>
        <v>110635.14</v>
      </c>
      <c r="F77" s="67" t="n">
        <f aca="false">S77</f>
        <v>110635.14</v>
      </c>
      <c r="H77" s="66" t="n">
        <f aca="false">H75-ДДС!H13-ДДС!H14</f>
        <v>-4000</v>
      </c>
      <c r="I77" s="66" t="n">
        <f aca="false">H77+I75-ДДС!I13-ДДС!I14</f>
        <v>-10000</v>
      </c>
      <c r="J77" s="66" t="n">
        <f aca="false">I77+J75-ДДС!J13-ДДС!J14</f>
        <v>-26000</v>
      </c>
      <c r="K77" s="66" t="n">
        <f aca="false">J77+K75-ДДС!K13-ДДС!K14</f>
        <v>-52000</v>
      </c>
      <c r="L77" s="66" t="n">
        <f aca="false">K77+L75-ДДС!L13-ДДС!L14</f>
        <v>-89093.64</v>
      </c>
      <c r="M77" s="66" t="n">
        <f aca="false">L77+M75-ДДС!M13-ДДС!M14</f>
        <v>-116611.92</v>
      </c>
      <c r="N77" s="66" t="n">
        <f aca="false">M77+N75-ДДС!N13-ДДС!N14</f>
        <v>-130757.04</v>
      </c>
      <c r="O77" s="66" t="n">
        <f aca="false">N77+O75-ДДС!O13-ДДС!O14</f>
        <v>-130381.48</v>
      </c>
      <c r="P77" s="66" t="n">
        <f aca="false">O77+P75-ДДС!P13-ДДС!P14</f>
        <v>-114308.46</v>
      </c>
      <c r="Q77" s="66" t="n">
        <f aca="false">P77+Q75-ДДС!Q13-ДДС!Q14</f>
        <v>-73664.38</v>
      </c>
      <c r="R77" s="66" t="n">
        <f aca="false">Q77+R75-ДДС!R13-ДДС!R14</f>
        <v>283.140000000014</v>
      </c>
      <c r="S77" s="66" t="n">
        <f aca="false">R77+S75-ДДС!S13-ДДС!S14</f>
        <v>110635.14</v>
      </c>
    </row>
    <row r="78" customFormat="false" ht="14.25" hidden="false" customHeight="false" outlineLevel="0" collapsed="false">
      <c r="B78" s="82" t="s">
        <v>384</v>
      </c>
      <c r="C78" s="27" t="s">
        <v>74</v>
      </c>
      <c r="D78" s="26"/>
      <c r="E78" s="26"/>
      <c r="F78" s="26"/>
      <c r="H78" s="83" t="str">
        <f aca="false">IF(H77&gt;=0,0,"")</f>
        <v/>
      </c>
      <c r="I78" s="83" t="str">
        <f aca="false">IF(AND(I77&gt;=0,H77&lt;0),(I$37-1)+(-H77)/(I77-H77),"")</f>
        <v/>
      </c>
      <c r="J78" s="83" t="str">
        <f aca="false">IF(AND(J77&gt;=0,I77&lt;0),(J$37-1)+(-I77)/(J77-I77),"")</f>
        <v/>
      </c>
      <c r="K78" s="83" t="str">
        <f aca="false">IF(AND(K77&gt;=0,J77&lt;0),(K$37-1)+(-J77)/(K77-J77),"")</f>
        <v/>
      </c>
      <c r="L78" s="83" t="str">
        <f aca="false">IF(AND(L77&gt;=0,K77&lt;0),(L$37-1)+(-K77)/(L77-K77),"")</f>
        <v/>
      </c>
      <c r="M78" s="83" t="str">
        <f aca="false">IF(AND(M77&gt;=0,L77&lt;0),(M$37-1)+(-L77)/(M77-L77),"")</f>
        <v/>
      </c>
      <c r="N78" s="83" t="str">
        <f aca="false">IF(AND(N77&gt;=0,M77&lt;0),(N$37-1)+(-M77)/(N77-M77),"")</f>
        <v/>
      </c>
      <c r="O78" s="83" t="str">
        <f aca="false">IF(AND(O77&gt;=0,N77&lt;0),(O$37-1)+(-N77)/(O77-N77),"")</f>
        <v/>
      </c>
      <c r="P78" s="83" t="str">
        <f aca="false">IF(AND(P77&gt;=0,O77&lt;0),(P$37-1)+(-O77)/(P77-O77),"")</f>
        <v/>
      </c>
      <c r="Q78" s="83" t="str">
        <f aca="false">IF(AND(Q77&gt;=0,P77&lt;0),(Q$37-1)+(-P77)/(Q77-P77),"")</f>
        <v/>
      </c>
      <c r="R78" s="83" t="n">
        <f aca="false">IF(AND(R77&gt;=0,Q77&lt;0),(R$37-1)+(-Q77)/(R77-Q77),"")</f>
        <v>10.9961710683468</v>
      </c>
      <c r="S78" s="83" t="str">
        <f aca="false">IF(AND(S77&gt;=0,R77&lt;0),(S$37-1)+(-R77)/(S77-R77),"")</f>
        <v/>
      </c>
    </row>
    <row r="80" customFormat="false" ht="18" hidden="false" customHeight="true" outlineLevel="0" collapsed="false">
      <c r="B80" s="19" t="str">
        <f aca="false">"Сценарий «"&amp;(Допущения!$G$80)&amp;"»: MAU ×"&amp;(FIXED(Допущения!$G$82,1))&amp;", eCPM ×"&amp;(FIXED(Допущения!$G$83,1))&amp;", конверсия ×"&amp;(FIXED(Допущения!$G$84,1))&amp;", маркетинг "&amp;(FIXED(Допущения!$G$85,0))&amp;" ₽/мес"</f>
        <v>Сценарий «Пессимистичный»: MAU ×0.6, eCPM ×1.0, конверсия ×1.0, маркетинг 25,000 ₽/мес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</row>
    <row r="81" customFormat="false" ht="14.25" hidden="false" customHeight="false" outlineLevel="0" collapsed="false">
      <c r="B81" s="65" t="s">
        <v>59</v>
      </c>
      <c r="C81" s="27" t="s">
        <v>87</v>
      </c>
      <c r="D81" s="66" t="n">
        <f aca="false">INDEX($H$81:$S$81,1,Дев_мес)</f>
        <v>0</v>
      </c>
      <c r="E81" s="66" t="n">
        <f aca="false">IF(Опер_мес&gt;0,S81,"")</f>
        <v>12000</v>
      </c>
      <c r="F81" s="67" t="n">
        <f aca="false">S81</f>
        <v>12000</v>
      </c>
      <c r="H81" s="66" t="n">
        <f aca="false">Выручка!H12*Допущения!$G$82</f>
        <v>0</v>
      </c>
      <c r="I81" s="66" t="n">
        <f aca="false">Выручка!I12*Допущения!$G$82</f>
        <v>0</v>
      </c>
      <c r="J81" s="66" t="n">
        <f aca="false">Выручка!J12*Допущения!$G$82</f>
        <v>0</v>
      </c>
      <c r="K81" s="66" t="n">
        <f aca="false">Выручка!K12*Допущения!$G$82</f>
        <v>0</v>
      </c>
      <c r="L81" s="66" t="n">
        <f aca="false">Выручка!L12*Допущения!$G$82</f>
        <v>900</v>
      </c>
      <c r="M81" s="66" t="n">
        <f aca="false">Выручка!M12*Допущения!$G$82</f>
        <v>1800</v>
      </c>
      <c r="N81" s="66" t="n">
        <f aca="false">Выручка!N12*Допущения!$G$82</f>
        <v>3000</v>
      </c>
      <c r="O81" s="66" t="n">
        <f aca="false">Выручка!O12*Допущения!$G$82</f>
        <v>4200</v>
      </c>
      <c r="P81" s="66" t="n">
        <f aca="false">Выручка!P12*Допущения!$G$82</f>
        <v>5400</v>
      </c>
      <c r="Q81" s="66" t="n">
        <f aca="false">Выручка!Q12*Допущения!$G$82</f>
        <v>7200</v>
      </c>
      <c r="R81" s="66" t="n">
        <f aca="false">Выручка!R12*Допущения!$G$82</f>
        <v>9600</v>
      </c>
      <c r="S81" s="66" t="n">
        <f aca="false">Выручка!S12*Допущения!$G$82</f>
        <v>12000</v>
      </c>
    </row>
    <row r="82" customFormat="false" ht="14.25" hidden="false" customHeight="false" outlineLevel="0" collapsed="false">
      <c r="B82" s="65" t="s">
        <v>221</v>
      </c>
      <c r="C82" s="27" t="s">
        <v>90</v>
      </c>
      <c r="D82" s="66" t="n">
        <f aca="false">SUMIF($H$39:$S$39,"Разработка",$H$82:$S$82)</f>
        <v>0</v>
      </c>
      <c r="E82" s="66" t="n">
        <f aca="false">SUMIF($H$39:$S$39,"Операционка",$H$82:$S$82)</f>
        <v>218590.65</v>
      </c>
      <c r="F82" s="67" t="n">
        <f aca="false">SUM($H$82:$S$82)</f>
        <v>218590.65</v>
      </c>
      <c r="H82" s="66" t="n">
        <f aca="false">H81*(Выручка!H41+Выручка!H42)*Допущения!$G$83</f>
        <v>0</v>
      </c>
      <c r="I82" s="66" t="n">
        <f aca="false">I81*(Выручка!I41+Выручка!I42)*Допущения!$G$83</f>
        <v>0</v>
      </c>
      <c r="J82" s="66" t="n">
        <f aca="false">J81*(Выручка!J41+Выручка!J42)*Допущения!$G$83</f>
        <v>0</v>
      </c>
      <c r="K82" s="66" t="n">
        <f aca="false">K81*(Выручка!K41+Выручка!K42)*Допущения!$G$83</f>
        <v>0</v>
      </c>
      <c r="L82" s="66" t="n">
        <f aca="false">L81*(Выручка!L41+Выручка!L42)*Допущения!$G$83</f>
        <v>4232.25</v>
      </c>
      <c r="M82" s="66" t="n">
        <f aca="false">M81*(Выручка!M41+Выручка!M42)*Допущения!$G$83</f>
        <v>8529.3</v>
      </c>
      <c r="N82" s="66" t="n">
        <f aca="false">N81*(Выручка!N41+Выручка!N42)*Допущения!$G$83</f>
        <v>14431.5</v>
      </c>
      <c r="O82" s="66" t="n">
        <f aca="false">O81*(Выручка!O41+Выручка!O42)*Допущения!$G$83</f>
        <v>20506.5</v>
      </c>
      <c r="P82" s="66" t="n">
        <f aca="false">P81*(Выручка!P41+Выручка!P42)*Допущения!$G$83</f>
        <v>26559.9</v>
      </c>
      <c r="Q82" s="66" t="n">
        <f aca="false">Q81*(Выручка!Q41+Выручка!Q42)*Допущения!$G$83</f>
        <v>35672.4</v>
      </c>
      <c r="R82" s="66" t="n">
        <f aca="false">R81*(Выручка!R41+Выручка!R42)*Допущения!$G$83</f>
        <v>47908.8</v>
      </c>
      <c r="S82" s="66" t="n">
        <f aca="false">S81*(Выручка!S41+Выручка!S42)*Допущения!$G$83</f>
        <v>60750</v>
      </c>
    </row>
    <row r="83" customFormat="false" ht="14.25" hidden="false" customHeight="false" outlineLevel="0" collapsed="false">
      <c r="B83" s="65" t="s">
        <v>378</v>
      </c>
      <c r="C83" s="27" t="s">
        <v>90</v>
      </c>
      <c r="D83" s="66" t="n">
        <f aca="false">SUMIF($H$39:$S$39,"Разработка",$H$83:$S$83)</f>
        <v>0</v>
      </c>
      <c r="E83" s="66" t="n">
        <f aca="false">SUMIF($H$39:$S$39,"Операционка",$H$83:$S$83)</f>
        <v>148808.8</v>
      </c>
      <c r="F83" s="67" t="n">
        <f aca="false">SUM($H$83:$S$83)</f>
        <v>148808.8</v>
      </c>
      <c r="H83" s="66" t="n">
        <f aca="false">ROUND(H81*(Выручка!H43*Допущения!$G$84),0)*Выручка!H30</f>
        <v>0</v>
      </c>
      <c r="I83" s="66" t="n">
        <f aca="false">ROUND(I81*(Выручка!I43*Допущения!$G$84),0)*Выручка!I30</f>
        <v>0</v>
      </c>
      <c r="J83" s="66" t="n">
        <f aca="false">ROUND(J81*(Выручка!J43*Допущения!$G$84),0)*Выручка!J30</f>
        <v>0</v>
      </c>
      <c r="K83" s="66" t="n">
        <f aca="false">ROUND(K81*(Выручка!K43*Допущения!$G$84),0)*Выручка!K30</f>
        <v>0</v>
      </c>
      <c r="L83" s="66" t="n">
        <f aca="false">ROUND(L81*(Выручка!L43*Допущения!$G$84),0)*Выручка!L30</f>
        <v>1773.6</v>
      </c>
      <c r="M83" s="66" t="n">
        <f aca="false">ROUND(M81*(Выручка!M43*Допущения!$G$84),0)*Выручка!M30</f>
        <v>4232.8</v>
      </c>
      <c r="N83" s="66" t="n">
        <f aca="false">ROUND(N81*(Выручка!N43*Допущения!$G$84),0)*Выручка!N30</f>
        <v>7718.8</v>
      </c>
      <c r="O83" s="66" t="n">
        <f aca="false">ROUND(O81*(Выручка!O43*Допущения!$G$84),0)*Выручка!O30</f>
        <v>11750.4</v>
      </c>
      <c r="P83" s="66" t="n">
        <f aca="false">ROUND(P81*(Выручка!P43*Допущения!$G$84),0)*Выручка!P30</f>
        <v>16357.6</v>
      </c>
      <c r="Q83" s="66" t="n">
        <f aca="false">ROUND(Q81*(Выручка!Q43*Допущения!$G$84),0)*Выручка!Q30</f>
        <v>24414</v>
      </c>
      <c r="R83" s="66" t="n">
        <f aca="false">ROUND(R81*(Выручка!R43*Допущения!$G$84),0)*Выручка!R30</f>
        <v>35089.6</v>
      </c>
      <c r="S83" s="66" t="n">
        <f aca="false">ROUND(S81*(Выручка!S43*Допущения!$G$84),0)*Выручка!S30</f>
        <v>47472</v>
      </c>
    </row>
    <row r="84" customFormat="false" ht="14.25" hidden="false" customHeight="false" outlineLevel="0" collapsed="false">
      <c r="B84" s="68" t="s">
        <v>295</v>
      </c>
      <c r="C84" s="69" t="s">
        <v>90</v>
      </c>
      <c r="D84" s="70" t="n">
        <f aca="false">SUMIF($H$39:$S$39,"Разработка",$H$84:$S$84)</f>
        <v>0</v>
      </c>
      <c r="E84" s="70" t="n">
        <f aca="false">SUMIF($H$39:$S$39,"Операционка",$H$84:$S$84)</f>
        <v>367399.45</v>
      </c>
      <c r="F84" s="70" t="n">
        <f aca="false">SUM($H$84:$S$84)</f>
        <v>367399.45</v>
      </c>
      <c r="H84" s="70" t="n">
        <f aca="false">H82+H83</f>
        <v>0</v>
      </c>
      <c r="I84" s="70" t="n">
        <f aca="false">I82+I83</f>
        <v>0</v>
      </c>
      <c r="J84" s="70" t="n">
        <f aca="false">J82+J83</f>
        <v>0</v>
      </c>
      <c r="K84" s="70" t="n">
        <f aca="false">K82+K83</f>
        <v>0</v>
      </c>
      <c r="L84" s="70" t="n">
        <f aca="false">L82+L83</f>
        <v>6005.85</v>
      </c>
      <c r="M84" s="70" t="n">
        <f aca="false">M82+M83</f>
        <v>12762.1</v>
      </c>
      <c r="N84" s="70" t="n">
        <f aca="false">N82+N83</f>
        <v>22150.3</v>
      </c>
      <c r="O84" s="70" t="n">
        <f aca="false">O82+O83</f>
        <v>32256.9</v>
      </c>
      <c r="P84" s="70" t="n">
        <f aca="false">P82+P83</f>
        <v>42917.5</v>
      </c>
      <c r="Q84" s="70" t="n">
        <f aca="false">Q82+Q83</f>
        <v>60086.4</v>
      </c>
      <c r="R84" s="70" t="n">
        <f aca="false">R82+R83</f>
        <v>82998.4</v>
      </c>
      <c r="S84" s="70" t="n">
        <f aca="false">S82+S83</f>
        <v>108222</v>
      </c>
    </row>
    <row r="85" customFormat="false" ht="14.25" hidden="false" customHeight="false" outlineLevel="0" collapsed="false">
      <c r="B85" s="65" t="s">
        <v>379</v>
      </c>
      <c r="C85" s="27" t="s">
        <v>90</v>
      </c>
      <c r="D85" s="66" t="n">
        <f aca="false">SUMIF($H$39:$S$39,"Разработка",$H$85:$S$85)</f>
        <v>0</v>
      </c>
      <c r="E85" s="66" t="n">
        <f aca="false">SUMIF($H$39:$S$39,"Операционка",$H$85:$S$85)</f>
        <v>22321.32</v>
      </c>
      <c r="F85" s="67" t="n">
        <f aca="false">SUM($H$85:$S$85)</f>
        <v>22321.32</v>
      </c>
      <c r="H85" s="66" t="n">
        <f aca="false">H83*Комиссия_стора</f>
        <v>0</v>
      </c>
      <c r="I85" s="66" t="n">
        <f aca="false">I83*Комиссия_стора</f>
        <v>0</v>
      </c>
      <c r="J85" s="66" t="n">
        <f aca="false">J83*Комиссия_стора</f>
        <v>0</v>
      </c>
      <c r="K85" s="66" t="n">
        <f aca="false">K83*Комиссия_стора</f>
        <v>0</v>
      </c>
      <c r="L85" s="66" t="n">
        <f aca="false">L83*Комиссия_стора</f>
        <v>266.04</v>
      </c>
      <c r="M85" s="66" t="n">
        <f aca="false">M83*Комиссия_стора</f>
        <v>634.92</v>
      </c>
      <c r="N85" s="66" t="n">
        <f aca="false">N83*Комиссия_стора</f>
        <v>1157.82</v>
      </c>
      <c r="O85" s="66" t="n">
        <f aca="false">O83*Комиссия_стора</f>
        <v>1762.56</v>
      </c>
      <c r="P85" s="66" t="n">
        <f aca="false">P83*Комиссия_стора</f>
        <v>2453.64</v>
      </c>
      <c r="Q85" s="66" t="n">
        <f aca="false">Q83*Комиссия_стора</f>
        <v>3662.1</v>
      </c>
      <c r="R85" s="66" t="n">
        <f aca="false">R83*Комиссия_стора</f>
        <v>5263.44</v>
      </c>
      <c r="S85" s="66" t="n">
        <f aca="false">S83*Комиссия_стора</f>
        <v>7120.8</v>
      </c>
    </row>
    <row r="86" customFormat="false" ht="14.25" hidden="false" customHeight="false" outlineLevel="0" collapsed="false">
      <c r="B86" s="65" t="s">
        <v>285</v>
      </c>
      <c r="C86" s="27" t="s">
        <v>90</v>
      </c>
      <c r="D86" s="66" t="n">
        <f aca="false">SUMIF($H$39:$S$39,"Разработка",$H$86:$S$86)</f>
        <v>52000</v>
      </c>
      <c r="E86" s="66" t="n">
        <f aca="false">SUMIF($H$39:$S$39,"Операционка",$H$86:$S$86)</f>
        <v>354790.75</v>
      </c>
      <c r="F86" s="67" t="n">
        <f aca="false">SUM($H$86:$S$86)</f>
        <v>406790.75</v>
      </c>
      <c r="H86" s="66" t="n">
        <f aca="false">(Расходы!H12-Энергия!H39+H81*Энергия!H40)+Расходы!H13+Расходы!H14+IF(H$39="Разработка",Расходы!H15,Допущения!$G$85)</f>
        <v>4000</v>
      </c>
      <c r="I86" s="66" t="n">
        <f aca="false">(Расходы!I12-Энергия!I39+I81*Энергия!I40)+Расходы!I13+Расходы!I14+IF(I$39="Разработка",Расходы!I15,Допущения!$G$85)</f>
        <v>6000</v>
      </c>
      <c r="J86" s="66" t="n">
        <f aca="false">(Расходы!J12-Энергия!J39+J81*Энергия!J40)+Расходы!J13+Расходы!J14+IF(J$39="Разработка",Расходы!J15,Допущения!$G$85)</f>
        <v>16000</v>
      </c>
      <c r="K86" s="66" t="n">
        <f aca="false">(Расходы!K12-Энергия!K39+K81*Энергия!K40)+Расходы!K13+Расходы!K14+IF(K$39="Разработка",Расходы!K15,Допущения!$G$85)</f>
        <v>26000</v>
      </c>
      <c r="L86" s="66" t="n">
        <f aca="false">(Расходы!L12-Энергия!L39+L81*Энергия!L40)+Расходы!L13+Расходы!L14+IF(L$39="Разработка",Расходы!L15,Допущения!$G$85)</f>
        <v>41546.75</v>
      </c>
      <c r="M86" s="66" t="n">
        <f aca="false">(Расходы!M12-Энергия!M39+M81*Энергия!M40)+Расходы!M13+Расходы!M14+IF(M$39="Разработка",Расходы!M15,Допущения!$G$85)</f>
        <v>42093.5</v>
      </c>
      <c r="N86" s="66" t="n">
        <f aca="false">(Расходы!N12-Энергия!N39+N81*Энергия!N40)+Расходы!N13+Расходы!N14+IF(N$39="Разработка",Расходы!N15,Допущения!$G$85)</f>
        <v>42822.5</v>
      </c>
      <c r="O86" s="66" t="n">
        <f aca="false">(Расходы!O12-Энергия!O39+O81*Энергия!O40)+Расходы!O13+Расходы!O14+IF(O$39="Разработка",Расходы!O15,Допущения!$G$85)</f>
        <v>43551.5</v>
      </c>
      <c r="P86" s="66" t="n">
        <f aca="false">(Расходы!P12-Энергия!P39+P81*Энергия!P40)+Расходы!P13+Расходы!P14+IF(P$39="Разработка",Расходы!P15,Допущения!$G$85)</f>
        <v>44280.5</v>
      </c>
      <c r="Q86" s="66" t="n">
        <f aca="false">(Расходы!Q12-Энергия!Q39+Q81*Энергия!Q40)+Расходы!Q13+Расходы!Q14+IF(Q$39="Разработка",Расходы!Q15,Допущения!$G$85)</f>
        <v>45374</v>
      </c>
      <c r="R86" s="66" t="n">
        <f aca="false">(Расходы!R12-Энергия!R39+R81*Энергия!R40)+Расходы!R13+Расходы!R14+IF(R$39="Разработка",Расходы!R15,Допущения!$G$85)</f>
        <v>46832</v>
      </c>
      <c r="S86" s="66" t="n">
        <f aca="false">(Расходы!S12-Энергия!S39+S81*Энергия!S40)+Расходы!S13+Расходы!S14+IF(S$39="Разработка",Расходы!S15,Допущения!$G$85)</f>
        <v>48290</v>
      </c>
    </row>
    <row r="87" customFormat="false" ht="14.25" hidden="false" customHeight="false" outlineLevel="0" collapsed="false">
      <c r="B87" s="68" t="s">
        <v>48</v>
      </c>
      <c r="C87" s="69" t="s">
        <v>90</v>
      </c>
      <c r="D87" s="70" t="n">
        <f aca="false">SUMIF($H$39:$S$39,"Разработка",$H$87:$S$87)</f>
        <v>-52000</v>
      </c>
      <c r="E87" s="70" t="n">
        <f aca="false">SUMIF($H$39:$S$39,"Операционка",$H$87:$S$87)</f>
        <v>-9712.62000000001</v>
      </c>
      <c r="F87" s="70" t="n">
        <f aca="false">SUM($H$87:$S$87)</f>
        <v>-61712.62</v>
      </c>
      <c r="H87" s="70" t="n">
        <f aca="false">H84-H85-H86</f>
        <v>-4000</v>
      </c>
      <c r="I87" s="70" t="n">
        <f aca="false">I84-I85-I86</f>
        <v>-6000</v>
      </c>
      <c r="J87" s="70" t="n">
        <f aca="false">J84-J85-J86</f>
        <v>-16000</v>
      </c>
      <c r="K87" s="70" t="n">
        <f aca="false">K84-K85-K86</f>
        <v>-26000</v>
      </c>
      <c r="L87" s="70" t="n">
        <f aca="false">L84-L85-L86</f>
        <v>-35806.94</v>
      </c>
      <c r="M87" s="70" t="n">
        <f aca="false">M84-M85-M86</f>
        <v>-29966.32</v>
      </c>
      <c r="N87" s="70" t="n">
        <f aca="false">N84-N85-N86</f>
        <v>-21830.02</v>
      </c>
      <c r="O87" s="70" t="n">
        <f aca="false">O84-O85-O86</f>
        <v>-13057.16</v>
      </c>
      <c r="P87" s="70" t="n">
        <f aca="false">P84-P85-P86</f>
        <v>-3816.64</v>
      </c>
      <c r="Q87" s="70" t="n">
        <f aca="false">Q84-Q85-Q86</f>
        <v>11050.3</v>
      </c>
      <c r="R87" s="70" t="n">
        <f aca="false">R84-R85-R86</f>
        <v>30902.96</v>
      </c>
      <c r="S87" s="70" t="n">
        <f aca="false">S84-S85-S86</f>
        <v>52811.2</v>
      </c>
    </row>
    <row r="88" customFormat="false" ht="14.25" hidden="true" customHeight="false" outlineLevel="0" collapsed="false">
      <c r="B88" s="65" t="s">
        <v>380</v>
      </c>
      <c r="C88" s="27" t="s">
        <v>90</v>
      </c>
      <c r="D88" s="66" t="n">
        <f aca="false">SUMIF($H$39:$S$39,"Разработка",$H$88:$S$88)</f>
        <v>0</v>
      </c>
      <c r="E88" s="66" t="n">
        <f aca="false">SUMIF($H$39:$S$39,"Операционка",$H$88:$S$88)</f>
        <v>0</v>
      </c>
      <c r="F88" s="67" t="n">
        <f aca="false">SUM($H$88:$S$88)</f>
        <v>0</v>
      </c>
      <c r="H88" s="98" t="n">
        <f aca="false">0</f>
        <v>0</v>
      </c>
      <c r="I88" s="98" t="n">
        <f aca="false">0</f>
        <v>0</v>
      </c>
      <c r="J88" s="98" t="n">
        <f aca="false">0</f>
        <v>0</v>
      </c>
      <c r="K88" s="98" t="n">
        <f aca="false">0</f>
        <v>0</v>
      </c>
      <c r="L88" s="98" t="n">
        <f aca="false">0</f>
        <v>0</v>
      </c>
      <c r="M88" s="98" t="n">
        <f aca="false">0</f>
        <v>0</v>
      </c>
      <c r="N88" s="98" t="n">
        <f aca="false">0</f>
        <v>0</v>
      </c>
      <c r="O88" s="98" t="n">
        <f aca="false">0</f>
        <v>0</v>
      </c>
      <c r="P88" s="98" t="n">
        <f aca="false">0</f>
        <v>0</v>
      </c>
      <c r="Q88" s="98" t="n">
        <f aca="false">0</f>
        <v>0</v>
      </c>
      <c r="R88" s="98" t="n">
        <f aca="false">0</f>
        <v>0</v>
      </c>
      <c r="S88" s="98" t="n">
        <f aca="false">0</f>
        <v>0</v>
      </c>
    </row>
    <row r="89" customFormat="false" ht="14.25" hidden="false" customHeight="false" outlineLevel="0" collapsed="false">
      <c r="B89" s="82" t="s">
        <v>381</v>
      </c>
      <c r="C89" s="27" t="s">
        <v>90</v>
      </c>
      <c r="D89" s="105" t="n">
        <f aca="false">INDEX($H$89:$S$89,1,Дев_мес)</f>
        <v>0</v>
      </c>
      <c r="E89" s="105" t="n">
        <f aca="false">IF(Опер_мес&gt;0,S89,"")</f>
        <v>367399.45</v>
      </c>
      <c r="F89" s="105" t="n">
        <f aca="false">S89</f>
        <v>367399.45</v>
      </c>
      <c r="H89" s="105" t="n">
        <f aca="false">IF(H$37-Лаг_выручки&gt;=1,INDEX($H84:$S84,1,H$37-Лаг_выручки),0)</f>
        <v>0</v>
      </c>
      <c r="I89" s="105" t="n">
        <f aca="false">IF(YEAR(I$38)=YEAR(H$38),H89,0)+IF(I$37-Лаг_выручки&gt;=1,INDEX($H84:$S84,1,I$37-Лаг_выручки),0)</f>
        <v>0</v>
      </c>
      <c r="J89" s="105" t="n">
        <f aca="false">IF(YEAR(J$38)=YEAR(I$38),I89,0)+IF(J$37-Лаг_выручки&gt;=1,INDEX($H84:$S84,1,J$37-Лаг_выручки),0)</f>
        <v>0</v>
      </c>
      <c r="K89" s="105" t="n">
        <f aca="false">IF(YEAR(K$38)=YEAR(J$38),J89,0)+IF(K$37-Лаг_выручки&gt;=1,INDEX($H84:$S84,1,K$37-Лаг_выручки),0)</f>
        <v>0</v>
      </c>
      <c r="L89" s="105" t="n">
        <f aca="false">IF(YEAR(L$38)=YEAR(K$38),K89,0)+IF(L$37-Лаг_выручки&gt;=1,INDEX($H84:$S84,1,L$37-Лаг_выручки),0)</f>
        <v>6005.85</v>
      </c>
      <c r="M89" s="105" t="n">
        <f aca="false">IF(YEAR(M$38)=YEAR(L$38),L89,0)+IF(M$37-Лаг_выручки&gt;=1,INDEX($H84:$S84,1,M$37-Лаг_выручки),0)</f>
        <v>18767.95</v>
      </c>
      <c r="N89" s="105" t="n">
        <f aca="false">IF(YEAR(N$38)=YEAR(M$38),M89,0)+IF(N$37-Лаг_выручки&gt;=1,INDEX($H84:$S84,1,N$37-Лаг_выручки),0)</f>
        <v>40918.25</v>
      </c>
      <c r="O89" s="105" t="n">
        <f aca="false">IF(YEAR(O$38)=YEAR(N$38),N89,0)+IF(O$37-Лаг_выручки&gt;=1,INDEX($H84:$S84,1,O$37-Лаг_выручки),0)</f>
        <v>73175.15</v>
      </c>
      <c r="P89" s="105" t="n">
        <f aca="false">IF(YEAR(P$38)=YEAR(O$38),O89,0)+IF(P$37-Лаг_выручки&gt;=1,INDEX($H84:$S84,1,P$37-Лаг_выручки),0)</f>
        <v>116092.65</v>
      </c>
      <c r="Q89" s="105" t="n">
        <f aca="false">IF(YEAR(Q$38)=YEAR(P$38),P89,0)+IF(Q$37-Лаг_выручки&gt;=1,INDEX($H84:$S84,1,Q$37-Лаг_выручки),0)</f>
        <v>176179.05</v>
      </c>
      <c r="R89" s="105" t="n">
        <f aca="false">IF(YEAR(R$38)=YEAR(Q$38),Q89,0)+IF(R$37-Лаг_выручки&gt;=1,INDEX($H84:$S84,1,R$37-Лаг_выручки),0)</f>
        <v>259177.45</v>
      </c>
      <c r="S89" s="105" t="n">
        <f aca="false">IF(YEAR(S$38)=YEAR(R$38),R89,0)+IF(S$37-Лаг_выручки&gt;=1,INDEX($H84:$S84,1,S$37-Лаг_выручки),0)</f>
        <v>367399.45</v>
      </c>
    </row>
    <row r="90" customFormat="false" ht="14.25" hidden="false" customHeight="false" outlineLevel="0" collapsed="false">
      <c r="B90" s="82" t="s">
        <v>314</v>
      </c>
      <c r="C90" s="27" t="s">
        <v>90</v>
      </c>
      <c r="D90" s="105" t="n">
        <f aca="false">INDEX($H$90:$S$90,1,Дев_мес)</f>
        <v>0</v>
      </c>
      <c r="E90" s="105" t="n">
        <f aca="false">IF(Опер_мес&gt;0,S90,"")</f>
        <v>0</v>
      </c>
      <c r="F90" s="105" t="n">
        <f aca="false">S90</f>
        <v>0</v>
      </c>
      <c r="H90" s="105" t="n">
        <f aca="false">MAX(0,Ставка_УСН*H89-MIN(Взносы_вычет,Лимит_вычета*Ставка_УСН*H89))</f>
        <v>0</v>
      </c>
      <c r="I90" s="105" t="n">
        <f aca="false">MAX(0,Ставка_УСН*I89-MIN(Взносы_вычет,Лимит_вычета*Ставка_УСН*I89))</f>
        <v>0</v>
      </c>
      <c r="J90" s="105" t="n">
        <f aca="false">MAX(0,Ставка_УСН*J89-MIN(Взносы_вычет,Лимит_вычета*Ставка_УСН*J89))</f>
        <v>0</v>
      </c>
      <c r="K90" s="105" t="n">
        <f aca="false">MAX(0,Ставка_УСН*K89-MIN(Взносы_вычет,Лимит_вычета*Ставка_УСН*K89))</f>
        <v>0</v>
      </c>
      <c r="L90" s="105" t="n">
        <f aca="false">MAX(0,Ставка_УСН*L89-MIN(Взносы_вычет,Лимит_вычета*Ставка_УСН*L89))</f>
        <v>0</v>
      </c>
      <c r="M90" s="105" t="n">
        <f aca="false">MAX(0,Ставка_УСН*M89-MIN(Взносы_вычет,Лимит_вычета*Ставка_УСН*M89))</f>
        <v>0</v>
      </c>
      <c r="N90" s="105" t="n">
        <f aca="false">MAX(0,Ставка_УСН*N89-MIN(Взносы_вычет,Лимит_вычета*Ставка_УСН*N89))</f>
        <v>0</v>
      </c>
      <c r="O90" s="105" t="n">
        <f aca="false">MAX(0,Ставка_УСН*O89-MIN(Взносы_вычет,Лимит_вычета*Ставка_УСН*O89))</f>
        <v>0</v>
      </c>
      <c r="P90" s="105" t="n">
        <f aca="false">MAX(0,Ставка_УСН*P89-MIN(Взносы_вычет,Лимит_вычета*Ставка_УСН*P89))</f>
        <v>0</v>
      </c>
      <c r="Q90" s="105" t="n">
        <f aca="false">MAX(0,Ставка_УСН*Q89-MIN(Взносы_вычет,Лимит_вычета*Ставка_УСН*Q89))</f>
        <v>0</v>
      </c>
      <c r="R90" s="105" t="n">
        <f aca="false">MAX(0,Ставка_УСН*R89-MIN(Взносы_вычет,Лимит_вычета*Ставка_УСН*R89))</f>
        <v>0</v>
      </c>
      <c r="S90" s="105" t="n">
        <f aca="false">MAX(0,Ставка_УСН*S89-MIN(Взносы_вычет,Лимит_вычета*Ставка_УСН*S89))</f>
        <v>0</v>
      </c>
    </row>
    <row r="91" customFormat="false" ht="14.25" hidden="false" customHeight="false" outlineLevel="0" collapsed="false">
      <c r="B91" s="65" t="s">
        <v>382</v>
      </c>
      <c r="C91" s="27" t="s">
        <v>90</v>
      </c>
      <c r="D91" s="66" t="n">
        <f aca="false">SUMIF($H$39:$S$39,"Разработка",$H$91:$S$91)</f>
        <v>0</v>
      </c>
      <c r="E91" s="66" t="n">
        <f aca="false">SUMIF($H$39:$S$39,"Операционка",$H$91:$S$91)</f>
        <v>0</v>
      </c>
      <c r="F91" s="67" t="n">
        <f aca="false">SUM($H$91:$S$91)</f>
        <v>0</v>
      </c>
      <c r="H91" s="66" t="n">
        <f aca="false">H90</f>
        <v>0</v>
      </c>
      <c r="I91" s="66" t="n">
        <f aca="false">I90-IF(YEAR(I$38)=YEAR(H$38),H90,0)</f>
        <v>0</v>
      </c>
      <c r="J91" s="66" t="n">
        <f aca="false">J90-IF(YEAR(J$38)=YEAR(I$38),I90,0)</f>
        <v>0</v>
      </c>
      <c r="K91" s="66" t="n">
        <f aca="false">K90-IF(YEAR(K$38)=YEAR(J$38),J90,0)</f>
        <v>0</v>
      </c>
      <c r="L91" s="66" t="n">
        <f aca="false">L90-IF(YEAR(L$38)=YEAR(K$38),K90,0)</f>
        <v>0</v>
      </c>
      <c r="M91" s="66" t="n">
        <f aca="false">M90-IF(YEAR(M$38)=YEAR(L$38),L90,0)</f>
        <v>0</v>
      </c>
      <c r="N91" s="66" t="n">
        <f aca="false">N90-IF(YEAR(N$38)=YEAR(M$38),M90,0)</f>
        <v>0</v>
      </c>
      <c r="O91" s="66" t="n">
        <f aca="false">O90-IF(YEAR(O$38)=YEAR(N$38),N90,0)</f>
        <v>0</v>
      </c>
      <c r="P91" s="66" t="n">
        <f aca="false">P90-IF(YEAR(P$38)=YEAR(O$38),O90,0)</f>
        <v>0</v>
      </c>
      <c r="Q91" s="66" t="n">
        <f aca="false">Q90-IF(YEAR(Q$38)=YEAR(P$38),P90,0)</f>
        <v>0</v>
      </c>
      <c r="R91" s="66" t="n">
        <f aca="false">R90-IF(YEAR(R$38)=YEAR(Q$38),Q90,0)</f>
        <v>0</v>
      </c>
      <c r="S91" s="66" t="n">
        <f aca="false">S90-IF(YEAR(S$38)=YEAR(R$38),R90,0)</f>
        <v>0</v>
      </c>
    </row>
    <row r="92" customFormat="false" ht="14.25" hidden="false" customHeight="false" outlineLevel="0" collapsed="false">
      <c r="B92" s="99" t="s">
        <v>12</v>
      </c>
      <c r="C92" s="100" t="s">
        <v>90</v>
      </c>
      <c r="D92" s="101" t="n">
        <f aca="false">SUMIF($H$39:$S$39,"Разработка",$H$92:$S$92)</f>
        <v>-52000</v>
      </c>
      <c r="E92" s="101" t="n">
        <f aca="false">SUMIF($H$39:$S$39,"Операционка",$H$92:$S$92)</f>
        <v>-9712.62000000001</v>
      </c>
      <c r="F92" s="101" t="n">
        <f aca="false">SUM($H$92:$S$92)</f>
        <v>-61712.62</v>
      </c>
      <c r="G92" s="102"/>
      <c r="H92" s="101" t="n">
        <f aca="false">H87-H88-H91</f>
        <v>-4000</v>
      </c>
      <c r="I92" s="101" t="n">
        <f aca="false">I87-I88-I91</f>
        <v>-6000</v>
      </c>
      <c r="J92" s="101" t="n">
        <f aca="false">J87-J88-J91</f>
        <v>-16000</v>
      </c>
      <c r="K92" s="101" t="n">
        <f aca="false">K87-K88-K91</f>
        <v>-26000</v>
      </c>
      <c r="L92" s="101" t="n">
        <f aca="false">L87-L88-L91</f>
        <v>-35806.94</v>
      </c>
      <c r="M92" s="101" t="n">
        <f aca="false">M87-M88-M91</f>
        <v>-29966.32</v>
      </c>
      <c r="N92" s="101" t="n">
        <f aca="false">N87-N88-N91</f>
        <v>-21830.02</v>
      </c>
      <c r="O92" s="101" t="n">
        <f aca="false">O87-O88-O91</f>
        <v>-13057.16</v>
      </c>
      <c r="P92" s="101" t="n">
        <f aca="false">P87-P88-P91</f>
        <v>-3816.64</v>
      </c>
      <c r="Q92" s="101" t="n">
        <f aca="false">Q87-Q88-Q91</f>
        <v>11050.3</v>
      </c>
      <c r="R92" s="101" t="n">
        <f aca="false">R87-R88-R91</f>
        <v>30902.96</v>
      </c>
      <c r="S92" s="101" t="n">
        <f aca="false">S87-S88-S91</f>
        <v>52811.2</v>
      </c>
    </row>
    <row r="93" customFormat="false" ht="14.25" hidden="false" customHeight="false" outlineLevel="0" collapsed="false">
      <c r="B93" s="65" t="s">
        <v>383</v>
      </c>
      <c r="C93" s="27" t="s">
        <v>90</v>
      </c>
      <c r="D93" s="66" t="n">
        <f aca="false">SUMIF($H$39:$S$39,"Разработка",$H$93:$S$93)</f>
        <v>0</v>
      </c>
      <c r="E93" s="66" t="n">
        <f aca="false">SUMIF($H$39:$S$39,"Операционка",$H$93:$S$93)</f>
        <v>345078.13</v>
      </c>
      <c r="F93" s="67" t="n">
        <f aca="false">SUM($H$93:$S$93)</f>
        <v>345078.13</v>
      </c>
      <c r="H93" s="66" t="n">
        <f aca="false">IF(H$37-Лаг_выручки&gt;=1,INDEX($H84:$S84,1,H$37-Лаг_выручки)-INDEX($H85:$S85,1,H$37-Лаг_выручки),0)</f>
        <v>0</v>
      </c>
      <c r="I93" s="66" t="n">
        <f aca="false">IF(I$37-Лаг_выручки&gt;=1,INDEX($H84:$S84,1,I$37-Лаг_выручки)-INDEX($H85:$S85,1,I$37-Лаг_выручки),0)</f>
        <v>0</v>
      </c>
      <c r="J93" s="66" t="n">
        <f aca="false">IF(J$37-Лаг_выручки&gt;=1,INDEX($H84:$S84,1,J$37-Лаг_выручки)-INDEX($H85:$S85,1,J$37-Лаг_выручки),0)</f>
        <v>0</v>
      </c>
      <c r="K93" s="66" t="n">
        <f aca="false">IF(K$37-Лаг_выручки&gt;=1,INDEX($H84:$S84,1,K$37-Лаг_выручки)-INDEX($H85:$S85,1,K$37-Лаг_выручки),0)</f>
        <v>0</v>
      </c>
      <c r="L93" s="66" t="n">
        <f aca="false">IF(L$37-Лаг_выручки&gt;=1,INDEX($H84:$S84,1,L$37-Лаг_выручки)-INDEX($H85:$S85,1,L$37-Лаг_выручки),0)</f>
        <v>5739.81</v>
      </c>
      <c r="M93" s="66" t="n">
        <f aca="false">IF(M$37-Лаг_выручки&gt;=1,INDEX($H84:$S84,1,M$37-Лаг_выручки)-INDEX($H85:$S85,1,M$37-Лаг_выручки),0)</f>
        <v>12127.18</v>
      </c>
      <c r="N93" s="66" t="n">
        <f aca="false">IF(N$37-Лаг_выручки&gt;=1,INDEX($H84:$S84,1,N$37-Лаг_выручки)-INDEX($H85:$S85,1,N$37-Лаг_выручки),0)</f>
        <v>20992.48</v>
      </c>
      <c r="O93" s="66" t="n">
        <f aca="false">IF(O$37-Лаг_выручки&gt;=1,INDEX($H84:$S84,1,O$37-Лаг_выручки)-INDEX($H85:$S85,1,O$37-Лаг_выручки),0)</f>
        <v>30494.34</v>
      </c>
      <c r="P93" s="66" t="n">
        <f aca="false">IF(P$37-Лаг_выручки&gt;=1,INDEX($H84:$S84,1,P$37-Лаг_выручки)-INDEX($H85:$S85,1,P$37-Лаг_выручки),0)</f>
        <v>40463.86</v>
      </c>
      <c r="Q93" s="66" t="n">
        <f aca="false">IF(Q$37-Лаг_выручки&gt;=1,INDEX($H84:$S84,1,Q$37-Лаг_выручки)-INDEX($H85:$S85,1,Q$37-Лаг_выручки),0)</f>
        <v>56424.3</v>
      </c>
      <c r="R93" s="66" t="n">
        <f aca="false">IF(R$37-Лаг_выручки&gt;=1,INDEX($H84:$S84,1,R$37-Лаг_выручки)-INDEX($H85:$S85,1,R$37-Лаг_выручки),0)</f>
        <v>77734.96</v>
      </c>
      <c r="S93" s="66" t="n">
        <f aca="false">IF(S$37-Лаг_выручки&gt;=1,INDEX($H84:$S84,1,S$37-Лаг_выручки)-INDEX($H85:$S85,1,S$37-Лаг_выручки),0)</f>
        <v>101101.2</v>
      </c>
    </row>
    <row r="94" customFormat="false" ht="14.25" hidden="false" customHeight="false" outlineLevel="0" collapsed="false">
      <c r="B94" s="65" t="s">
        <v>60</v>
      </c>
      <c r="C94" s="27" t="s">
        <v>90</v>
      </c>
      <c r="D94" s="66" t="n">
        <f aca="false">SUMIF($H$39:$S$39,"Разработка",$H$94:$S$94)</f>
        <v>148000</v>
      </c>
      <c r="E94" s="66" t="n">
        <f aca="false">SUMIF($H$39:$S$39,"Операционка",$H$94:$S$94)</f>
        <v>-9712.62000000001</v>
      </c>
      <c r="F94" s="67" t="n">
        <f aca="false">SUM($H$94:$S$94)</f>
        <v>138287.38</v>
      </c>
      <c r="H94" s="66" t="n">
        <f aca="false">H93-H86-H91-H88+ДДС!H13</f>
        <v>196000</v>
      </c>
      <c r="I94" s="66" t="n">
        <f aca="false">I93-I86-I91-I88+ДДС!I13</f>
        <v>-6000</v>
      </c>
      <c r="J94" s="66" t="n">
        <f aca="false">J93-J86-J91-J88+ДДС!J13</f>
        <v>-16000</v>
      </c>
      <c r="K94" s="66" t="n">
        <f aca="false">K93-K86-K91-K88+ДДС!K13</f>
        <v>-26000</v>
      </c>
      <c r="L94" s="66" t="n">
        <f aca="false">L93-L86-L91-L88+ДДС!L13</f>
        <v>-35806.94</v>
      </c>
      <c r="M94" s="66" t="n">
        <f aca="false">M93-M86-M91-M88+ДДС!M13</f>
        <v>-29966.32</v>
      </c>
      <c r="N94" s="66" t="n">
        <f aca="false">N93-N86-N91-N88+ДДС!N13</f>
        <v>-21830.02</v>
      </c>
      <c r="O94" s="66" t="n">
        <f aca="false">O93-O86-O91-O88+ДДС!O13</f>
        <v>-13057.16</v>
      </c>
      <c r="P94" s="66" t="n">
        <f aca="false">P93-P86-P91-P88+ДДС!P13</f>
        <v>-3816.64</v>
      </c>
      <c r="Q94" s="66" t="n">
        <f aca="false">Q93-Q86-Q91-Q88+ДДС!Q13</f>
        <v>11050.3</v>
      </c>
      <c r="R94" s="66" t="n">
        <f aca="false">R93-R86-R91-R88+ДДС!R13</f>
        <v>30902.96</v>
      </c>
      <c r="S94" s="66" t="n">
        <f aca="false">S93-S86-S91-S88+ДДС!S13</f>
        <v>52811.2</v>
      </c>
    </row>
    <row r="95" customFormat="false" ht="14.25" hidden="false" customHeight="false" outlineLevel="0" collapsed="false">
      <c r="B95" s="68" t="s">
        <v>331</v>
      </c>
      <c r="C95" s="69" t="s">
        <v>90</v>
      </c>
      <c r="D95" s="70" t="n">
        <f aca="false">INDEX($H$95:$S$95,1,Дев_мес)</f>
        <v>148000</v>
      </c>
      <c r="E95" s="70" t="n">
        <f aca="false">IF(Опер_мес&gt;0,S95,"")</f>
        <v>138287.38</v>
      </c>
      <c r="F95" s="70" t="n">
        <f aca="false">S95</f>
        <v>138287.38</v>
      </c>
      <c r="H95" s="70" t="n">
        <f aca="false">H94</f>
        <v>196000</v>
      </c>
      <c r="I95" s="70" t="n">
        <f aca="false">H95+I94</f>
        <v>190000</v>
      </c>
      <c r="J95" s="70" t="n">
        <f aca="false">I95+J94</f>
        <v>174000</v>
      </c>
      <c r="K95" s="70" t="n">
        <f aca="false">J95+K94</f>
        <v>148000</v>
      </c>
      <c r="L95" s="70" t="n">
        <f aca="false">K95+L94</f>
        <v>112193.06</v>
      </c>
      <c r="M95" s="70" t="n">
        <f aca="false">L95+M94</f>
        <v>82226.74</v>
      </c>
      <c r="N95" s="70" t="n">
        <f aca="false">M95+N94</f>
        <v>60396.72</v>
      </c>
      <c r="O95" s="70" t="n">
        <f aca="false">N95+O94</f>
        <v>47339.56</v>
      </c>
      <c r="P95" s="70" t="n">
        <f aca="false">O95+P94</f>
        <v>43522.92</v>
      </c>
      <c r="Q95" s="70" t="n">
        <f aca="false">P95+Q94</f>
        <v>54573.22</v>
      </c>
      <c r="R95" s="70" t="n">
        <f aca="false">Q95+R94</f>
        <v>85476.18</v>
      </c>
      <c r="S95" s="70" t="n">
        <f aca="false">R95+S94</f>
        <v>138287.38</v>
      </c>
    </row>
    <row r="96" customFormat="false" ht="14.25" hidden="false" customHeight="false" outlineLevel="0" collapsed="false">
      <c r="B96" s="65" t="s">
        <v>337</v>
      </c>
      <c r="C96" s="27" t="s">
        <v>90</v>
      </c>
      <c r="D96" s="66" t="n">
        <f aca="false">INDEX($H$96:$S$96,1,Дев_мес)</f>
        <v>-52000</v>
      </c>
      <c r="E96" s="66" t="n">
        <f aca="false">IF(Опер_мес&gt;0,S96,"")</f>
        <v>-61712.62</v>
      </c>
      <c r="F96" s="67" t="n">
        <f aca="false">S96</f>
        <v>-61712.62</v>
      </c>
      <c r="H96" s="66" t="n">
        <f aca="false">H94-ДДС!H13-ДДС!H14</f>
        <v>-4000</v>
      </c>
      <c r="I96" s="66" t="n">
        <f aca="false">H96+I94-ДДС!I13-ДДС!I14</f>
        <v>-10000</v>
      </c>
      <c r="J96" s="66" t="n">
        <f aca="false">I96+J94-ДДС!J13-ДДС!J14</f>
        <v>-26000</v>
      </c>
      <c r="K96" s="66" t="n">
        <f aca="false">J96+K94-ДДС!K13-ДДС!K14</f>
        <v>-52000</v>
      </c>
      <c r="L96" s="66" t="n">
        <f aca="false">K96+L94-ДДС!L13-ДДС!L14</f>
        <v>-87806.94</v>
      </c>
      <c r="M96" s="66" t="n">
        <f aca="false">L96+M94-ДДС!M13-ДДС!M14</f>
        <v>-117773.26</v>
      </c>
      <c r="N96" s="66" t="n">
        <f aca="false">M96+N94-ДДС!N13-ДДС!N14</f>
        <v>-139603.28</v>
      </c>
      <c r="O96" s="66" t="n">
        <f aca="false">N96+O94-ДДС!O13-ДДС!O14</f>
        <v>-152660.44</v>
      </c>
      <c r="P96" s="66" t="n">
        <f aca="false">O96+P94-ДДС!P13-ДДС!P14</f>
        <v>-156477.08</v>
      </c>
      <c r="Q96" s="66" t="n">
        <f aca="false">P96+Q94-ДДС!Q13-ДДС!Q14</f>
        <v>-145426.78</v>
      </c>
      <c r="R96" s="66" t="n">
        <f aca="false">Q96+R94-ДДС!R13-ДДС!R14</f>
        <v>-114523.82</v>
      </c>
      <c r="S96" s="66" t="n">
        <f aca="false">R96+S94-ДДС!S13-ДДС!S14</f>
        <v>-61712.62</v>
      </c>
    </row>
    <row r="97" customFormat="false" ht="14.25" hidden="false" customHeight="false" outlineLevel="0" collapsed="false">
      <c r="B97" s="82" t="s">
        <v>384</v>
      </c>
      <c r="C97" s="27" t="s">
        <v>74</v>
      </c>
      <c r="D97" s="26"/>
      <c r="E97" s="26"/>
      <c r="F97" s="26"/>
      <c r="H97" s="83" t="str">
        <f aca="false">IF(H96&gt;=0,0,"")</f>
        <v/>
      </c>
      <c r="I97" s="83" t="str">
        <f aca="false">IF(AND(I96&gt;=0,H96&lt;0),(I$37-1)+(-H96)/(I96-H96),"")</f>
        <v/>
      </c>
      <c r="J97" s="83" t="str">
        <f aca="false">IF(AND(J96&gt;=0,I96&lt;0),(J$37-1)+(-I96)/(J96-I96),"")</f>
        <v/>
      </c>
      <c r="K97" s="83" t="str">
        <f aca="false">IF(AND(K96&gt;=0,J96&lt;0),(K$37-1)+(-J96)/(K96-J96),"")</f>
        <v/>
      </c>
      <c r="L97" s="83" t="str">
        <f aca="false">IF(AND(L96&gt;=0,K96&lt;0),(L$37-1)+(-K96)/(L96-K96),"")</f>
        <v/>
      </c>
      <c r="M97" s="83" t="str">
        <f aca="false">IF(AND(M96&gt;=0,L96&lt;0),(M$37-1)+(-L96)/(M96-L96),"")</f>
        <v/>
      </c>
      <c r="N97" s="83" t="str">
        <f aca="false">IF(AND(N96&gt;=0,M96&lt;0),(N$37-1)+(-M96)/(N96-M96),"")</f>
        <v/>
      </c>
      <c r="O97" s="83" t="str">
        <f aca="false">IF(AND(O96&gt;=0,N96&lt;0),(O$37-1)+(-N96)/(O96-N96),"")</f>
        <v/>
      </c>
      <c r="P97" s="83" t="str">
        <f aca="false">IF(AND(P96&gt;=0,O96&lt;0),(P$37-1)+(-O96)/(P96-O96),"")</f>
        <v/>
      </c>
      <c r="Q97" s="83" t="str">
        <f aca="false">IF(AND(Q96&gt;=0,P96&lt;0),(Q$37-1)+(-P96)/(Q96-P96),"")</f>
        <v/>
      </c>
      <c r="R97" s="83" t="str">
        <f aca="false">IF(AND(R96&gt;=0,Q96&lt;0),(R$37-1)+(-Q96)/(R96-Q96),"")</f>
        <v/>
      </c>
      <c r="S97" s="83" t="str">
        <f aca="false">IF(AND(S96&gt;=0,R96&lt;0),(S$37-1)+(-R96)/(S96-R96),"")</f>
        <v/>
      </c>
    </row>
    <row r="99" customFormat="false" ht="18" hidden="false" customHeight="true" outlineLevel="0" collapsed="false">
      <c r="B99" s="19" t="str">
        <f aca="false">"Сценарий «"&amp;(Допущения!$H$80)&amp;"»: MAU ×"&amp;(FIXED(Допущения!$H$82,1))&amp;", eCPM ×"&amp;(FIXED(Допущения!$H$83,1))&amp;", конверсия ×"&amp;(FIXED(Допущения!$H$84,1))&amp;", маркетинг "&amp;(FIXED(Допущения!$H$85,0))&amp;" ₽/мес"</f>
        <v>Сценарий «Пессимистичный + меры»: MAU ×0.6, eCPM ×1.0, конверсия ×1.0, маркетинг 20,000 ₽/мес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</row>
    <row r="100" customFormat="false" ht="14.25" hidden="false" customHeight="false" outlineLevel="0" collapsed="false">
      <c r="B100" s="65" t="s">
        <v>59</v>
      </c>
      <c r="C100" s="27" t="s">
        <v>87</v>
      </c>
      <c r="D100" s="66" t="n">
        <f aca="false">INDEX($H$100:$S$100,1,Дев_мес)</f>
        <v>0</v>
      </c>
      <c r="E100" s="66" t="n">
        <f aca="false">IF(Опер_мес&gt;0,S100,"")</f>
        <v>12000</v>
      </c>
      <c r="F100" s="67" t="n">
        <f aca="false">S100</f>
        <v>12000</v>
      </c>
      <c r="H100" s="66" t="n">
        <f aca="false">Выручка!H12*Допущения!$H$82</f>
        <v>0</v>
      </c>
      <c r="I100" s="66" t="n">
        <f aca="false">Выручка!I12*Допущения!$H$82</f>
        <v>0</v>
      </c>
      <c r="J100" s="66" t="n">
        <f aca="false">Выручка!J12*Допущения!$H$82</f>
        <v>0</v>
      </c>
      <c r="K100" s="66" t="n">
        <f aca="false">Выручка!K12*Допущения!$H$82</f>
        <v>0</v>
      </c>
      <c r="L100" s="66" t="n">
        <f aca="false">Выручка!L12*Допущения!$H$82</f>
        <v>900</v>
      </c>
      <c r="M100" s="66" t="n">
        <f aca="false">Выручка!M12*Допущения!$H$82</f>
        <v>1800</v>
      </c>
      <c r="N100" s="66" t="n">
        <f aca="false">Выручка!N12*Допущения!$H$82</f>
        <v>3000</v>
      </c>
      <c r="O100" s="66" t="n">
        <f aca="false">Выручка!O12*Допущения!$H$82</f>
        <v>4200</v>
      </c>
      <c r="P100" s="66" t="n">
        <f aca="false">Выручка!P12*Допущения!$H$82</f>
        <v>5400</v>
      </c>
      <c r="Q100" s="66" t="n">
        <f aca="false">Выручка!Q12*Допущения!$H$82</f>
        <v>7200</v>
      </c>
      <c r="R100" s="66" t="n">
        <f aca="false">Выручка!R12*Допущения!$H$82</f>
        <v>9600</v>
      </c>
      <c r="S100" s="66" t="n">
        <f aca="false">Выручка!S12*Допущения!$H$82</f>
        <v>12000</v>
      </c>
    </row>
    <row r="101" customFormat="false" ht="14.25" hidden="false" customHeight="false" outlineLevel="0" collapsed="false">
      <c r="B101" s="65" t="s">
        <v>221</v>
      </c>
      <c r="C101" s="27" t="s">
        <v>90</v>
      </c>
      <c r="D101" s="66" t="n">
        <f aca="false">SUMIF($H$39:$S$39,"Разработка",$H$101:$S$101)</f>
        <v>0</v>
      </c>
      <c r="E101" s="66" t="n">
        <f aca="false">SUMIF($H$39:$S$39,"Операционка",$H$101:$S$101)</f>
        <v>218590.65</v>
      </c>
      <c r="F101" s="67" t="n">
        <f aca="false">SUM($H$101:$S$101)</f>
        <v>218590.65</v>
      </c>
      <c r="H101" s="66" t="n">
        <f aca="false">H100*(Выручка!H41+Выручка!H42)*Допущения!$H$83</f>
        <v>0</v>
      </c>
      <c r="I101" s="66" t="n">
        <f aca="false">I100*(Выручка!I41+Выручка!I42)*Допущения!$H$83</f>
        <v>0</v>
      </c>
      <c r="J101" s="66" t="n">
        <f aca="false">J100*(Выручка!J41+Выручка!J42)*Допущения!$H$83</f>
        <v>0</v>
      </c>
      <c r="K101" s="66" t="n">
        <f aca="false">K100*(Выручка!K41+Выручка!K42)*Допущения!$H$83</f>
        <v>0</v>
      </c>
      <c r="L101" s="66" t="n">
        <f aca="false">L100*(Выручка!L41+Выручка!L42)*Допущения!$H$83</f>
        <v>4232.25</v>
      </c>
      <c r="M101" s="66" t="n">
        <f aca="false">M100*(Выручка!M41+Выручка!M42)*Допущения!$H$83</f>
        <v>8529.3</v>
      </c>
      <c r="N101" s="66" t="n">
        <f aca="false">N100*(Выручка!N41+Выручка!N42)*Допущения!$H$83</f>
        <v>14431.5</v>
      </c>
      <c r="O101" s="66" t="n">
        <f aca="false">O100*(Выручка!O41+Выручка!O42)*Допущения!$H$83</f>
        <v>20506.5</v>
      </c>
      <c r="P101" s="66" t="n">
        <f aca="false">P100*(Выручка!P41+Выручка!P42)*Допущения!$H$83</f>
        <v>26559.9</v>
      </c>
      <c r="Q101" s="66" t="n">
        <f aca="false">Q100*(Выручка!Q41+Выручка!Q42)*Допущения!$H$83</f>
        <v>35672.4</v>
      </c>
      <c r="R101" s="66" t="n">
        <f aca="false">R100*(Выручка!R41+Выручка!R42)*Допущения!$H$83</f>
        <v>47908.8</v>
      </c>
      <c r="S101" s="66" t="n">
        <f aca="false">S100*(Выручка!S41+Выручка!S42)*Допущения!$H$83</f>
        <v>60750</v>
      </c>
    </row>
    <row r="102" customFormat="false" ht="14.25" hidden="false" customHeight="false" outlineLevel="0" collapsed="false">
      <c r="B102" s="65" t="s">
        <v>378</v>
      </c>
      <c r="C102" s="27" t="s">
        <v>90</v>
      </c>
      <c r="D102" s="66" t="n">
        <f aca="false">SUMIF($H$39:$S$39,"Разработка",$H$102:$S$102)</f>
        <v>0</v>
      </c>
      <c r="E102" s="66" t="n">
        <f aca="false">SUMIF($H$39:$S$39,"Операционка",$H$102:$S$102)</f>
        <v>148808.8</v>
      </c>
      <c r="F102" s="67" t="n">
        <f aca="false">SUM($H$102:$S$102)</f>
        <v>148808.8</v>
      </c>
      <c r="H102" s="66" t="n">
        <f aca="false">ROUND(H100*(Выручка!H43*Допущения!$H$84),0)*Выручка!H30</f>
        <v>0</v>
      </c>
      <c r="I102" s="66" t="n">
        <f aca="false">ROUND(I100*(Выручка!I43*Допущения!$H$84),0)*Выручка!I30</f>
        <v>0</v>
      </c>
      <c r="J102" s="66" t="n">
        <f aca="false">ROUND(J100*(Выручка!J43*Допущения!$H$84),0)*Выручка!J30</f>
        <v>0</v>
      </c>
      <c r="K102" s="66" t="n">
        <f aca="false">ROUND(K100*(Выручка!K43*Допущения!$H$84),0)*Выручка!K30</f>
        <v>0</v>
      </c>
      <c r="L102" s="66" t="n">
        <f aca="false">ROUND(L100*(Выручка!L43*Допущения!$H$84),0)*Выручка!L30</f>
        <v>1773.6</v>
      </c>
      <c r="M102" s="66" t="n">
        <f aca="false">ROUND(M100*(Выручка!M43*Допущения!$H$84),0)*Выручка!M30</f>
        <v>4232.8</v>
      </c>
      <c r="N102" s="66" t="n">
        <f aca="false">ROUND(N100*(Выручка!N43*Допущения!$H$84),0)*Выручка!N30</f>
        <v>7718.8</v>
      </c>
      <c r="O102" s="66" t="n">
        <f aca="false">ROUND(O100*(Выручка!O43*Допущения!$H$84),0)*Выручка!O30</f>
        <v>11750.4</v>
      </c>
      <c r="P102" s="66" t="n">
        <f aca="false">ROUND(P100*(Выручка!P43*Допущения!$H$84),0)*Выручка!P30</f>
        <v>16357.6</v>
      </c>
      <c r="Q102" s="66" t="n">
        <f aca="false">ROUND(Q100*(Выручка!Q43*Допущения!$H$84),0)*Выручка!Q30</f>
        <v>24414</v>
      </c>
      <c r="R102" s="66" t="n">
        <f aca="false">ROUND(R100*(Выручка!R43*Допущения!$H$84),0)*Выручка!R30</f>
        <v>35089.6</v>
      </c>
      <c r="S102" s="66" t="n">
        <f aca="false">ROUND(S100*(Выручка!S43*Допущения!$H$84),0)*Выручка!S30</f>
        <v>47472</v>
      </c>
    </row>
    <row r="103" customFormat="false" ht="14.25" hidden="false" customHeight="false" outlineLevel="0" collapsed="false">
      <c r="B103" s="68" t="s">
        <v>295</v>
      </c>
      <c r="C103" s="69" t="s">
        <v>90</v>
      </c>
      <c r="D103" s="70" t="n">
        <f aca="false">SUMIF($H$39:$S$39,"Разработка",$H$103:$S$103)</f>
        <v>0</v>
      </c>
      <c r="E103" s="70" t="n">
        <f aca="false">SUMIF($H$39:$S$39,"Операционка",$H$103:$S$103)</f>
        <v>367399.45</v>
      </c>
      <c r="F103" s="70" t="n">
        <f aca="false">SUM($H$103:$S$103)</f>
        <v>367399.45</v>
      </c>
      <c r="H103" s="70" t="n">
        <f aca="false">H101+H102</f>
        <v>0</v>
      </c>
      <c r="I103" s="70" t="n">
        <f aca="false">I101+I102</f>
        <v>0</v>
      </c>
      <c r="J103" s="70" t="n">
        <f aca="false">J101+J102</f>
        <v>0</v>
      </c>
      <c r="K103" s="70" t="n">
        <f aca="false">K101+K102</f>
        <v>0</v>
      </c>
      <c r="L103" s="70" t="n">
        <f aca="false">L101+L102</f>
        <v>6005.85</v>
      </c>
      <c r="M103" s="70" t="n">
        <f aca="false">M101+M102</f>
        <v>12762.1</v>
      </c>
      <c r="N103" s="70" t="n">
        <f aca="false">N101+N102</f>
        <v>22150.3</v>
      </c>
      <c r="O103" s="70" t="n">
        <f aca="false">O101+O102</f>
        <v>32256.9</v>
      </c>
      <c r="P103" s="70" t="n">
        <f aca="false">P101+P102</f>
        <v>42917.5</v>
      </c>
      <c r="Q103" s="70" t="n">
        <f aca="false">Q101+Q102</f>
        <v>60086.4</v>
      </c>
      <c r="R103" s="70" t="n">
        <f aca="false">R101+R102</f>
        <v>82998.4</v>
      </c>
      <c r="S103" s="70" t="n">
        <f aca="false">S101+S102</f>
        <v>108222</v>
      </c>
    </row>
    <row r="104" customFormat="false" ht="14.25" hidden="false" customHeight="false" outlineLevel="0" collapsed="false">
      <c r="B104" s="65" t="s">
        <v>379</v>
      </c>
      <c r="C104" s="27" t="s">
        <v>90</v>
      </c>
      <c r="D104" s="66" t="n">
        <f aca="false">SUMIF($H$39:$S$39,"Разработка",$H$104:$S$104)</f>
        <v>0</v>
      </c>
      <c r="E104" s="66" t="n">
        <f aca="false">SUMIF($H$39:$S$39,"Операционка",$H$104:$S$104)</f>
        <v>22321.32</v>
      </c>
      <c r="F104" s="67" t="n">
        <f aca="false">SUM($H$104:$S$104)</f>
        <v>22321.32</v>
      </c>
      <c r="H104" s="66" t="n">
        <f aca="false">H102*Комиссия_стора</f>
        <v>0</v>
      </c>
      <c r="I104" s="66" t="n">
        <f aca="false">I102*Комиссия_стора</f>
        <v>0</v>
      </c>
      <c r="J104" s="66" t="n">
        <f aca="false">J102*Комиссия_стора</f>
        <v>0</v>
      </c>
      <c r="K104" s="66" t="n">
        <f aca="false">K102*Комиссия_стора</f>
        <v>0</v>
      </c>
      <c r="L104" s="66" t="n">
        <f aca="false">L102*Комиссия_стора</f>
        <v>266.04</v>
      </c>
      <c r="M104" s="66" t="n">
        <f aca="false">M102*Комиссия_стора</f>
        <v>634.92</v>
      </c>
      <c r="N104" s="66" t="n">
        <f aca="false">N102*Комиссия_стора</f>
        <v>1157.82</v>
      </c>
      <c r="O104" s="66" t="n">
        <f aca="false">O102*Комиссия_стора</f>
        <v>1762.56</v>
      </c>
      <c r="P104" s="66" t="n">
        <f aca="false">P102*Комиссия_стора</f>
        <v>2453.64</v>
      </c>
      <c r="Q104" s="66" t="n">
        <f aca="false">Q102*Комиссия_стора</f>
        <v>3662.1</v>
      </c>
      <c r="R104" s="66" t="n">
        <f aca="false">R102*Комиссия_стора</f>
        <v>5263.44</v>
      </c>
      <c r="S104" s="66" t="n">
        <f aca="false">S102*Комиссия_стора</f>
        <v>7120.8</v>
      </c>
    </row>
    <row r="105" customFormat="false" ht="14.25" hidden="false" customHeight="false" outlineLevel="0" collapsed="false">
      <c r="B105" s="65" t="s">
        <v>285</v>
      </c>
      <c r="C105" s="27" t="s">
        <v>90</v>
      </c>
      <c r="D105" s="66" t="n">
        <f aca="false">SUMIF($H$39:$S$39,"Разработка",$H$105:$S$105)</f>
        <v>52000</v>
      </c>
      <c r="E105" s="66" t="n">
        <f aca="false">SUMIF($H$39:$S$39,"Операционка",$H$105:$S$105)</f>
        <v>314790.75</v>
      </c>
      <c r="F105" s="67" t="n">
        <f aca="false">SUM($H$105:$S$105)</f>
        <v>366790.75</v>
      </c>
      <c r="H105" s="66" t="n">
        <f aca="false">(Расходы!H12-Энергия!H39+H100*Энергия!H40)+Расходы!H13+Расходы!H14+IF(H$39="Разработка",Расходы!H15,Допущения!$H$85)</f>
        <v>4000</v>
      </c>
      <c r="I105" s="66" t="n">
        <f aca="false">(Расходы!I12-Энергия!I39+I100*Энергия!I40)+Расходы!I13+Расходы!I14+IF(I$39="Разработка",Расходы!I15,Допущения!$H$85)</f>
        <v>6000</v>
      </c>
      <c r="J105" s="66" t="n">
        <f aca="false">(Расходы!J12-Энергия!J39+J100*Энергия!J40)+Расходы!J13+Расходы!J14+IF(J$39="Разработка",Расходы!J15,Допущения!$H$85)</f>
        <v>16000</v>
      </c>
      <c r="K105" s="66" t="n">
        <f aca="false">(Расходы!K12-Энергия!K39+K100*Энергия!K40)+Расходы!K13+Расходы!K14+IF(K$39="Разработка",Расходы!K15,Допущения!$H$85)</f>
        <v>26000</v>
      </c>
      <c r="L105" s="66" t="n">
        <f aca="false">(Расходы!L12-Энергия!L39+L100*Энергия!L40)+Расходы!L13+Расходы!L14+IF(L$39="Разработка",Расходы!L15,Допущения!$H$85)</f>
        <v>36546.75</v>
      </c>
      <c r="M105" s="66" t="n">
        <f aca="false">(Расходы!M12-Энергия!M39+M100*Энергия!M40)+Расходы!M13+Расходы!M14+IF(M$39="Разработка",Расходы!M15,Допущения!$H$85)</f>
        <v>37093.5</v>
      </c>
      <c r="N105" s="66" t="n">
        <f aca="false">(Расходы!N12-Энергия!N39+N100*Энергия!N40)+Расходы!N13+Расходы!N14+IF(N$39="Разработка",Расходы!N15,Допущения!$H$85)</f>
        <v>37822.5</v>
      </c>
      <c r="O105" s="66" t="n">
        <f aca="false">(Расходы!O12-Энергия!O39+O100*Энергия!O40)+Расходы!O13+Расходы!O14+IF(O$39="Разработка",Расходы!O15,Допущения!$H$85)</f>
        <v>38551.5</v>
      </c>
      <c r="P105" s="66" t="n">
        <f aca="false">(Расходы!P12-Энергия!P39+P100*Энергия!P40)+Расходы!P13+Расходы!P14+IF(P$39="Разработка",Расходы!P15,Допущения!$H$85)</f>
        <v>39280.5</v>
      </c>
      <c r="Q105" s="66" t="n">
        <f aca="false">(Расходы!Q12-Энергия!Q39+Q100*Энергия!Q40)+Расходы!Q13+Расходы!Q14+IF(Q$39="Разработка",Расходы!Q15,Допущения!$H$85)</f>
        <v>40374</v>
      </c>
      <c r="R105" s="66" t="n">
        <f aca="false">(Расходы!R12-Энергия!R39+R100*Энергия!R40)+Расходы!R13+Расходы!R14+IF(R$39="Разработка",Расходы!R15,Допущения!$H$85)</f>
        <v>41832</v>
      </c>
      <c r="S105" s="66" t="n">
        <f aca="false">(Расходы!S12-Энергия!S39+S100*Энергия!S40)+Расходы!S13+Расходы!S14+IF(S$39="Разработка",Расходы!S15,Допущения!$H$85)</f>
        <v>43290</v>
      </c>
    </row>
    <row r="106" customFormat="false" ht="14.25" hidden="false" customHeight="false" outlineLevel="0" collapsed="false">
      <c r="B106" s="68" t="s">
        <v>48</v>
      </c>
      <c r="C106" s="69" t="s">
        <v>90</v>
      </c>
      <c r="D106" s="70" t="n">
        <f aca="false">SUMIF($H$39:$S$39,"Разработка",$H$106:$S$106)</f>
        <v>-52000</v>
      </c>
      <c r="E106" s="70" t="n">
        <f aca="false">SUMIF($H$39:$S$39,"Операционка",$H$106:$S$106)</f>
        <v>30287.38</v>
      </c>
      <c r="F106" s="70" t="n">
        <f aca="false">SUM($H$106:$S$106)</f>
        <v>-21712.62</v>
      </c>
      <c r="H106" s="70" t="n">
        <f aca="false">H103-H104-H105</f>
        <v>-4000</v>
      </c>
      <c r="I106" s="70" t="n">
        <f aca="false">I103-I104-I105</f>
        <v>-6000</v>
      </c>
      <c r="J106" s="70" t="n">
        <f aca="false">J103-J104-J105</f>
        <v>-16000</v>
      </c>
      <c r="K106" s="70" t="n">
        <f aca="false">K103-K104-K105</f>
        <v>-26000</v>
      </c>
      <c r="L106" s="70" t="n">
        <f aca="false">L103-L104-L105</f>
        <v>-30806.94</v>
      </c>
      <c r="M106" s="70" t="n">
        <f aca="false">M103-M104-M105</f>
        <v>-24966.32</v>
      </c>
      <c r="N106" s="70" t="n">
        <f aca="false">N103-N104-N105</f>
        <v>-16830.02</v>
      </c>
      <c r="O106" s="70" t="n">
        <f aca="false">O103-O104-O105</f>
        <v>-8057.16</v>
      </c>
      <c r="P106" s="70" t="n">
        <f aca="false">P103-P104-P105</f>
        <v>1183.36</v>
      </c>
      <c r="Q106" s="70" t="n">
        <f aca="false">Q103-Q104-Q105</f>
        <v>16050.3</v>
      </c>
      <c r="R106" s="70" t="n">
        <f aca="false">R103-R104-R105</f>
        <v>35902.96</v>
      </c>
      <c r="S106" s="70" t="n">
        <f aca="false">S103-S104-S105</f>
        <v>57811.2</v>
      </c>
    </row>
    <row r="107" customFormat="false" ht="14.25" hidden="true" customHeight="false" outlineLevel="0" collapsed="false">
      <c r="B107" s="65" t="s">
        <v>380</v>
      </c>
      <c r="C107" s="27" t="s">
        <v>90</v>
      </c>
      <c r="D107" s="66" t="n">
        <f aca="false">SUMIF($H$39:$S$39,"Разработка",$H$107:$S$107)</f>
        <v>0</v>
      </c>
      <c r="E107" s="66" t="n">
        <f aca="false">SUMIF($H$39:$S$39,"Операционка",$H$107:$S$107)</f>
        <v>0</v>
      </c>
      <c r="F107" s="67" t="n">
        <f aca="false">SUM($H$107:$S$107)</f>
        <v>0</v>
      </c>
      <c r="H107" s="98" t="n">
        <f aca="false">0</f>
        <v>0</v>
      </c>
      <c r="I107" s="98" t="n">
        <f aca="false">0</f>
        <v>0</v>
      </c>
      <c r="J107" s="98" t="n">
        <f aca="false">0</f>
        <v>0</v>
      </c>
      <c r="K107" s="98" t="n">
        <f aca="false">0</f>
        <v>0</v>
      </c>
      <c r="L107" s="98" t="n">
        <f aca="false">0</f>
        <v>0</v>
      </c>
      <c r="M107" s="98" t="n">
        <f aca="false">0</f>
        <v>0</v>
      </c>
      <c r="N107" s="98" t="n">
        <f aca="false">0</f>
        <v>0</v>
      </c>
      <c r="O107" s="98" t="n">
        <f aca="false">0</f>
        <v>0</v>
      </c>
      <c r="P107" s="98" t="n">
        <f aca="false">0</f>
        <v>0</v>
      </c>
      <c r="Q107" s="98" t="n">
        <f aca="false">0</f>
        <v>0</v>
      </c>
      <c r="R107" s="98" t="n">
        <f aca="false">0</f>
        <v>0</v>
      </c>
      <c r="S107" s="98" t="n">
        <f aca="false">0</f>
        <v>0</v>
      </c>
    </row>
    <row r="108" customFormat="false" ht="14.25" hidden="false" customHeight="false" outlineLevel="0" collapsed="false">
      <c r="B108" s="82" t="s">
        <v>381</v>
      </c>
      <c r="C108" s="27" t="s">
        <v>90</v>
      </c>
      <c r="D108" s="105" t="n">
        <f aca="false">INDEX($H$108:$S$108,1,Дев_мес)</f>
        <v>0</v>
      </c>
      <c r="E108" s="105" t="n">
        <f aca="false">IF(Опер_мес&gt;0,S108,"")</f>
        <v>367399.45</v>
      </c>
      <c r="F108" s="105" t="n">
        <f aca="false">S108</f>
        <v>367399.45</v>
      </c>
      <c r="H108" s="105" t="n">
        <f aca="false">IF(H$37-Лаг_выручки&gt;=1,INDEX($H103:$S103,1,H$37-Лаг_выручки),0)</f>
        <v>0</v>
      </c>
      <c r="I108" s="105" t="n">
        <f aca="false">IF(YEAR(I$38)=YEAR(H$38),H108,0)+IF(I$37-Лаг_выручки&gt;=1,INDEX($H103:$S103,1,I$37-Лаг_выручки),0)</f>
        <v>0</v>
      </c>
      <c r="J108" s="105" t="n">
        <f aca="false">IF(YEAR(J$38)=YEAR(I$38),I108,0)+IF(J$37-Лаг_выручки&gt;=1,INDEX($H103:$S103,1,J$37-Лаг_выручки),0)</f>
        <v>0</v>
      </c>
      <c r="K108" s="105" t="n">
        <f aca="false">IF(YEAR(K$38)=YEAR(J$38),J108,0)+IF(K$37-Лаг_выручки&gt;=1,INDEX($H103:$S103,1,K$37-Лаг_выручки),0)</f>
        <v>0</v>
      </c>
      <c r="L108" s="105" t="n">
        <f aca="false">IF(YEAR(L$38)=YEAR(K$38),K108,0)+IF(L$37-Лаг_выручки&gt;=1,INDEX($H103:$S103,1,L$37-Лаг_выручки),0)</f>
        <v>6005.85</v>
      </c>
      <c r="M108" s="105" t="n">
        <f aca="false">IF(YEAR(M$38)=YEAR(L$38),L108,0)+IF(M$37-Лаг_выручки&gt;=1,INDEX($H103:$S103,1,M$37-Лаг_выручки),0)</f>
        <v>18767.95</v>
      </c>
      <c r="N108" s="105" t="n">
        <f aca="false">IF(YEAR(N$38)=YEAR(M$38),M108,0)+IF(N$37-Лаг_выручки&gt;=1,INDEX($H103:$S103,1,N$37-Лаг_выручки),0)</f>
        <v>40918.25</v>
      </c>
      <c r="O108" s="105" t="n">
        <f aca="false">IF(YEAR(O$38)=YEAR(N$38),N108,0)+IF(O$37-Лаг_выручки&gt;=1,INDEX($H103:$S103,1,O$37-Лаг_выручки),0)</f>
        <v>73175.15</v>
      </c>
      <c r="P108" s="105" t="n">
        <f aca="false">IF(YEAR(P$38)=YEAR(O$38),O108,0)+IF(P$37-Лаг_выручки&gt;=1,INDEX($H103:$S103,1,P$37-Лаг_выручки),0)</f>
        <v>116092.65</v>
      </c>
      <c r="Q108" s="105" t="n">
        <f aca="false">IF(YEAR(Q$38)=YEAR(P$38),P108,0)+IF(Q$37-Лаг_выручки&gt;=1,INDEX($H103:$S103,1,Q$37-Лаг_выручки),0)</f>
        <v>176179.05</v>
      </c>
      <c r="R108" s="105" t="n">
        <f aca="false">IF(YEAR(R$38)=YEAR(Q$38),Q108,0)+IF(R$37-Лаг_выручки&gt;=1,INDEX($H103:$S103,1,R$37-Лаг_выручки),0)</f>
        <v>259177.45</v>
      </c>
      <c r="S108" s="105" t="n">
        <f aca="false">IF(YEAR(S$38)=YEAR(R$38),R108,0)+IF(S$37-Лаг_выручки&gt;=1,INDEX($H103:$S103,1,S$37-Лаг_выручки),0)</f>
        <v>367399.45</v>
      </c>
    </row>
    <row r="109" customFormat="false" ht="14.25" hidden="false" customHeight="false" outlineLevel="0" collapsed="false">
      <c r="B109" s="82" t="s">
        <v>314</v>
      </c>
      <c r="C109" s="27" t="s">
        <v>90</v>
      </c>
      <c r="D109" s="105" t="n">
        <f aca="false">INDEX($H$109:$S$109,1,Дев_мес)</f>
        <v>0</v>
      </c>
      <c r="E109" s="105" t="n">
        <f aca="false">IF(Опер_мес&gt;0,S109,"")</f>
        <v>0</v>
      </c>
      <c r="F109" s="105" t="n">
        <f aca="false">S109</f>
        <v>0</v>
      </c>
      <c r="H109" s="105" t="n">
        <f aca="false">MAX(0,Ставка_УСН*H108-MIN(Взносы_вычет,Лимит_вычета*Ставка_УСН*H108))</f>
        <v>0</v>
      </c>
      <c r="I109" s="105" t="n">
        <f aca="false">MAX(0,Ставка_УСН*I108-MIN(Взносы_вычет,Лимит_вычета*Ставка_УСН*I108))</f>
        <v>0</v>
      </c>
      <c r="J109" s="105" t="n">
        <f aca="false">MAX(0,Ставка_УСН*J108-MIN(Взносы_вычет,Лимит_вычета*Ставка_УСН*J108))</f>
        <v>0</v>
      </c>
      <c r="K109" s="105" t="n">
        <f aca="false">MAX(0,Ставка_УСН*K108-MIN(Взносы_вычет,Лимит_вычета*Ставка_УСН*K108))</f>
        <v>0</v>
      </c>
      <c r="L109" s="105" t="n">
        <f aca="false">MAX(0,Ставка_УСН*L108-MIN(Взносы_вычет,Лимит_вычета*Ставка_УСН*L108))</f>
        <v>0</v>
      </c>
      <c r="M109" s="105" t="n">
        <f aca="false">MAX(0,Ставка_УСН*M108-MIN(Взносы_вычет,Лимит_вычета*Ставка_УСН*M108))</f>
        <v>0</v>
      </c>
      <c r="N109" s="105" t="n">
        <f aca="false">MAX(0,Ставка_УСН*N108-MIN(Взносы_вычет,Лимит_вычета*Ставка_УСН*N108))</f>
        <v>0</v>
      </c>
      <c r="O109" s="105" t="n">
        <f aca="false">MAX(0,Ставка_УСН*O108-MIN(Взносы_вычет,Лимит_вычета*Ставка_УСН*O108))</f>
        <v>0</v>
      </c>
      <c r="P109" s="105" t="n">
        <f aca="false">MAX(0,Ставка_УСН*P108-MIN(Взносы_вычет,Лимит_вычета*Ставка_УСН*P108))</f>
        <v>0</v>
      </c>
      <c r="Q109" s="105" t="n">
        <f aca="false">MAX(0,Ставка_УСН*Q108-MIN(Взносы_вычет,Лимит_вычета*Ставка_УСН*Q108))</f>
        <v>0</v>
      </c>
      <c r="R109" s="105" t="n">
        <f aca="false">MAX(0,Ставка_УСН*R108-MIN(Взносы_вычет,Лимит_вычета*Ставка_УСН*R108))</f>
        <v>0</v>
      </c>
      <c r="S109" s="105" t="n">
        <f aca="false">MAX(0,Ставка_УСН*S108-MIN(Взносы_вычет,Лимит_вычета*Ставка_УСН*S108))</f>
        <v>0</v>
      </c>
    </row>
    <row r="110" customFormat="false" ht="14.25" hidden="false" customHeight="false" outlineLevel="0" collapsed="false">
      <c r="B110" s="65" t="s">
        <v>382</v>
      </c>
      <c r="C110" s="27" t="s">
        <v>90</v>
      </c>
      <c r="D110" s="66" t="n">
        <f aca="false">SUMIF($H$39:$S$39,"Разработка",$H$110:$S$110)</f>
        <v>0</v>
      </c>
      <c r="E110" s="66" t="n">
        <f aca="false">SUMIF($H$39:$S$39,"Операционка",$H$110:$S$110)</f>
        <v>0</v>
      </c>
      <c r="F110" s="67" t="n">
        <f aca="false">SUM($H$110:$S$110)</f>
        <v>0</v>
      </c>
      <c r="H110" s="66" t="n">
        <f aca="false">H109</f>
        <v>0</v>
      </c>
      <c r="I110" s="66" t="n">
        <f aca="false">I109-IF(YEAR(I$38)=YEAR(H$38),H109,0)</f>
        <v>0</v>
      </c>
      <c r="J110" s="66" t="n">
        <f aca="false">J109-IF(YEAR(J$38)=YEAR(I$38),I109,0)</f>
        <v>0</v>
      </c>
      <c r="K110" s="66" t="n">
        <f aca="false">K109-IF(YEAR(K$38)=YEAR(J$38),J109,0)</f>
        <v>0</v>
      </c>
      <c r="L110" s="66" t="n">
        <f aca="false">L109-IF(YEAR(L$38)=YEAR(K$38),K109,0)</f>
        <v>0</v>
      </c>
      <c r="M110" s="66" t="n">
        <f aca="false">M109-IF(YEAR(M$38)=YEAR(L$38),L109,0)</f>
        <v>0</v>
      </c>
      <c r="N110" s="66" t="n">
        <f aca="false">N109-IF(YEAR(N$38)=YEAR(M$38),M109,0)</f>
        <v>0</v>
      </c>
      <c r="O110" s="66" t="n">
        <f aca="false">O109-IF(YEAR(O$38)=YEAR(N$38),N109,0)</f>
        <v>0</v>
      </c>
      <c r="P110" s="66" t="n">
        <f aca="false">P109-IF(YEAR(P$38)=YEAR(O$38),O109,0)</f>
        <v>0</v>
      </c>
      <c r="Q110" s="66" t="n">
        <f aca="false">Q109-IF(YEAR(Q$38)=YEAR(P$38),P109,0)</f>
        <v>0</v>
      </c>
      <c r="R110" s="66" t="n">
        <f aca="false">R109-IF(YEAR(R$38)=YEAR(Q$38),Q109,0)</f>
        <v>0</v>
      </c>
      <c r="S110" s="66" t="n">
        <f aca="false">S109-IF(YEAR(S$38)=YEAR(R$38),R109,0)</f>
        <v>0</v>
      </c>
    </row>
    <row r="111" customFormat="false" ht="14.25" hidden="false" customHeight="false" outlineLevel="0" collapsed="false">
      <c r="B111" s="99" t="s">
        <v>12</v>
      </c>
      <c r="C111" s="100" t="s">
        <v>90</v>
      </c>
      <c r="D111" s="101" t="n">
        <f aca="false">SUMIF($H$39:$S$39,"Разработка",$H$111:$S$111)</f>
        <v>-52000</v>
      </c>
      <c r="E111" s="101" t="n">
        <f aca="false">SUMIF($H$39:$S$39,"Операционка",$H$111:$S$111)</f>
        <v>30287.38</v>
      </c>
      <c r="F111" s="101" t="n">
        <f aca="false">SUM($H$111:$S$111)</f>
        <v>-21712.62</v>
      </c>
      <c r="G111" s="102"/>
      <c r="H111" s="101" t="n">
        <f aca="false">H106-H107-H110</f>
        <v>-4000</v>
      </c>
      <c r="I111" s="101" t="n">
        <f aca="false">I106-I107-I110</f>
        <v>-6000</v>
      </c>
      <c r="J111" s="101" t="n">
        <f aca="false">J106-J107-J110</f>
        <v>-16000</v>
      </c>
      <c r="K111" s="101" t="n">
        <f aca="false">K106-K107-K110</f>
        <v>-26000</v>
      </c>
      <c r="L111" s="101" t="n">
        <f aca="false">L106-L107-L110</f>
        <v>-30806.94</v>
      </c>
      <c r="M111" s="101" t="n">
        <f aca="false">M106-M107-M110</f>
        <v>-24966.32</v>
      </c>
      <c r="N111" s="101" t="n">
        <f aca="false">N106-N107-N110</f>
        <v>-16830.02</v>
      </c>
      <c r="O111" s="101" t="n">
        <f aca="false">O106-O107-O110</f>
        <v>-8057.16</v>
      </c>
      <c r="P111" s="101" t="n">
        <f aca="false">P106-P107-P110</f>
        <v>1183.36</v>
      </c>
      <c r="Q111" s="101" t="n">
        <f aca="false">Q106-Q107-Q110</f>
        <v>16050.3</v>
      </c>
      <c r="R111" s="101" t="n">
        <f aca="false">R106-R107-R110</f>
        <v>35902.96</v>
      </c>
      <c r="S111" s="101" t="n">
        <f aca="false">S106-S107-S110</f>
        <v>57811.2</v>
      </c>
    </row>
    <row r="112" customFormat="false" ht="14.25" hidden="false" customHeight="false" outlineLevel="0" collapsed="false">
      <c r="B112" s="65" t="s">
        <v>383</v>
      </c>
      <c r="C112" s="27" t="s">
        <v>90</v>
      </c>
      <c r="D112" s="66" t="n">
        <f aca="false">SUMIF($H$39:$S$39,"Разработка",$H$112:$S$112)</f>
        <v>0</v>
      </c>
      <c r="E112" s="66" t="n">
        <f aca="false">SUMIF($H$39:$S$39,"Операционка",$H$112:$S$112)</f>
        <v>345078.13</v>
      </c>
      <c r="F112" s="67" t="n">
        <f aca="false">SUM($H$112:$S$112)</f>
        <v>345078.13</v>
      </c>
      <c r="H112" s="66" t="n">
        <f aca="false">IF(H$37-Лаг_выручки&gt;=1,INDEX($H103:$S103,1,H$37-Лаг_выручки)-INDEX($H104:$S104,1,H$37-Лаг_выручки),0)</f>
        <v>0</v>
      </c>
      <c r="I112" s="66" t="n">
        <f aca="false">IF(I$37-Лаг_выручки&gt;=1,INDEX($H103:$S103,1,I$37-Лаг_выручки)-INDEX($H104:$S104,1,I$37-Лаг_выручки),0)</f>
        <v>0</v>
      </c>
      <c r="J112" s="66" t="n">
        <f aca="false">IF(J$37-Лаг_выручки&gt;=1,INDEX($H103:$S103,1,J$37-Лаг_выручки)-INDEX($H104:$S104,1,J$37-Лаг_выручки),0)</f>
        <v>0</v>
      </c>
      <c r="K112" s="66" t="n">
        <f aca="false">IF(K$37-Лаг_выручки&gt;=1,INDEX($H103:$S103,1,K$37-Лаг_выручки)-INDEX($H104:$S104,1,K$37-Лаг_выручки),0)</f>
        <v>0</v>
      </c>
      <c r="L112" s="66" t="n">
        <f aca="false">IF(L$37-Лаг_выручки&gt;=1,INDEX($H103:$S103,1,L$37-Лаг_выручки)-INDEX($H104:$S104,1,L$37-Лаг_выручки),0)</f>
        <v>5739.81</v>
      </c>
      <c r="M112" s="66" t="n">
        <f aca="false">IF(M$37-Лаг_выручки&gt;=1,INDEX($H103:$S103,1,M$37-Лаг_выручки)-INDEX($H104:$S104,1,M$37-Лаг_выручки),0)</f>
        <v>12127.18</v>
      </c>
      <c r="N112" s="66" t="n">
        <f aca="false">IF(N$37-Лаг_выручки&gt;=1,INDEX($H103:$S103,1,N$37-Лаг_выручки)-INDEX($H104:$S104,1,N$37-Лаг_выручки),0)</f>
        <v>20992.48</v>
      </c>
      <c r="O112" s="66" t="n">
        <f aca="false">IF(O$37-Лаг_выручки&gt;=1,INDEX($H103:$S103,1,O$37-Лаг_выручки)-INDEX($H104:$S104,1,O$37-Лаг_выручки),0)</f>
        <v>30494.34</v>
      </c>
      <c r="P112" s="66" t="n">
        <f aca="false">IF(P$37-Лаг_выручки&gt;=1,INDEX($H103:$S103,1,P$37-Лаг_выручки)-INDEX($H104:$S104,1,P$37-Лаг_выручки),0)</f>
        <v>40463.86</v>
      </c>
      <c r="Q112" s="66" t="n">
        <f aca="false">IF(Q$37-Лаг_выручки&gt;=1,INDEX($H103:$S103,1,Q$37-Лаг_выручки)-INDEX($H104:$S104,1,Q$37-Лаг_выручки),0)</f>
        <v>56424.3</v>
      </c>
      <c r="R112" s="66" t="n">
        <f aca="false">IF(R$37-Лаг_выручки&gt;=1,INDEX($H103:$S103,1,R$37-Лаг_выручки)-INDEX($H104:$S104,1,R$37-Лаг_выручки),0)</f>
        <v>77734.96</v>
      </c>
      <c r="S112" s="66" t="n">
        <f aca="false">IF(S$37-Лаг_выручки&gt;=1,INDEX($H103:$S103,1,S$37-Лаг_выручки)-INDEX($H104:$S104,1,S$37-Лаг_выручки),0)</f>
        <v>101101.2</v>
      </c>
    </row>
    <row r="113" customFormat="false" ht="14.25" hidden="false" customHeight="false" outlineLevel="0" collapsed="false">
      <c r="B113" s="65" t="s">
        <v>60</v>
      </c>
      <c r="C113" s="27" t="s">
        <v>90</v>
      </c>
      <c r="D113" s="66" t="n">
        <f aca="false">SUMIF($H$39:$S$39,"Разработка",$H$113:$S$113)</f>
        <v>148000</v>
      </c>
      <c r="E113" s="66" t="n">
        <f aca="false">SUMIF($H$39:$S$39,"Операционка",$H$113:$S$113)</f>
        <v>30287.38</v>
      </c>
      <c r="F113" s="67" t="n">
        <f aca="false">SUM($H$113:$S$113)</f>
        <v>178287.38</v>
      </c>
      <c r="H113" s="66" t="n">
        <f aca="false">H112-H105-H110-H107+ДДС!H13</f>
        <v>196000</v>
      </c>
      <c r="I113" s="66" t="n">
        <f aca="false">I112-I105-I110-I107+ДДС!I13</f>
        <v>-6000</v>
      </c>
      <c r="J113" s="66" t="n">
        <f aca="false">J112-J105-J110-J107+ДДС!J13</f>
        <v>-16000</v>
      </c>
      <c r="K113" s="66" t="n">
        <f aca="false">K112-K105-K110-K107+ДДС!K13</f>
        <v>-26000</v>
      </c>
      <c r="L113" s="66" t="n">
        <f aca="false">L112-L105-L110-L107+ДДС!L13</f>
        <v>-30806.94</v>
      </c>
      <c r="M113" s="66" t="n">
        <f aca="false">M112-M105-M110-M107+ДДС!M13</f>
        <v>-24966.32</v>
      </c>
      <c r="N113" s="66" t="n">
        <f aca="false">N112-N105-N110-N107+ДДС!N13</f>
        <v>-16830.02</v>
      </c>
      <c r="O113" s="66" t="n">
        <f aca="false">O112-O105-O110-O107+ДДС!O13</f>
        <v>-8057.16</v>
      </c>
      <c r="P113" s="66" t="n">
        <f aca="false">P112-P105-P110-P107+ДДС!P13</f>
        <v>1183.36</v>
      </c>
      <c r="Q113" s="66" t="n">
        <f aca="false">Q112-Q105-Q110-Q107+ДДС!Q13</f>
        <v>16050.3</v>
      </c>
      <c r="R113" s="66" t="n">
        <f aca="false">R112-R105-R110-R107+ДДС!R13</f>
        <v>35902.96</v>
      </c>
      <c r="S113" s="66" t="n">
        <f aca="false">S112-S105-S110-S107+ДДС!S13</f>
        <v>57811.2</v>
      </c>
    </row>
    <row r="114" customFormat="false" ht="14.25" hidden="false" customHeight="false" outlineLevel="0" collapsed="false">
      <c r="B114" s="68" t="s">
        <v>331</v>
      </c>
      <c r="C114" s="69" t="s">
        <v>90</v>
      </c>
      <c r="D114" s="70" t="n">
        <f aca="false">INDEX($H$114:$S$114,1,Дев_мес)</f>
        <v>148000</v>
      </c>
      <c r="E114" s="70" t="n">
        <f aca="false">IF(Опер_мес&gt;0,S114,"")</f>
        <v>178287.38</v>
      </c>
      <c r="F114" s="70" t="n">
        <f aca="false">S114</f>
        <v>178287.38</v>
      </c>
      <c r="H114" s="70" t="n">
        <f aca="false">H113</f>
        <v>196000</v>
      </c>
      <c r="I114" s="70" t="n">
        <f aca="false">H114+I113</f>
        <v>190000</v>
      </c>
      <c r="J114" s="70" t="n">
        <f aca="false">I114+J113</f>
        <v>174000</v>
      </c>
      <c r="K114" s="70" t="n">
        <f aca="false">J114+K113</f>
        <v>148000</v>
      </c>
      <c r="L114" s="70" t="n">
        <f aca="false">K114+L113</f>
        <v>117193.06</v>
      </c>
      <c r="M114" s="70" t="n">
        <f aca="false">L114+M113</f>
        <v>92226.74</v>
      </c>
      <c r="N114" s="70" t="n">
        <f aca="false">M114+N113</f>
        <v>75396.72</v>
      </c>
      <c r="O114" s="70" t="n">
        <f aca="false">N114+O113</f>
        <v>67339.56</v>
      </c>
      <c r="P114" s="70" t="n">
        <f aca="false">O114+P113</f>
        <v>68522.92</v>
      </c>
      <c r="Q114" s="70" t="n">
        <f aca="false">P114+Q113</f>
        <v>84573.22</v>
      </c>
      <c r="R114" s="70" t="n">
        <f aca="false">Q114+R113</f>
        <v>120476.18</v>
      </c>
      <c r="S114" s="70" t="n">
        <f aca="false">R114+S113</f>
        <v>178287.38</v>
      </c>
    </row>
    <row r="115" customFormat="false" ht="14.25" hidden="false" customHeight="false" outlineLevel="0" collapsed="false">
      <c r="B115" s="65" t="s">
        <v>337</v>
      </c>
      <c r="C115" s="27" t="s">
        <v>90</v>
      </c>
      <c r="D115" s="66" t="n">
        <f aca="false">INDEX($H$115:$S$115,1,Дев_мес)</f>
        <v>-52000</v>
      </c>
      <c r="E115" s="66" t="n">
        <f aca="false">IF(Опер_мес&gt;0,S115,"")</f>
        <v>-21712.62</v>
      </c>
      <c r="F115" s="67" t="n">
        <f aca="false">S115</f>
        <v>-21712.62</v>
      </c>
      <c r="H115" s="66" t="n">
        <f aca="false">H113-ДДС!H13-ДДС!H14</f>
        <v>-4000</v>
      </c>
      <c r="I115" s="66" t="n">
        <f aca="false">H115+I113-ДДС!I13-ДДС!I14</f>
        <v>-10000</v>
      </c>
      <c r="J115" s="66" t="n">
        <f aca="false">I115+J113-ДДС!J13-ДДС!J14</f>
        <v>-26000</v>
      </c>
      <c r="K115" s="66" t="n">
        <f aca="false">J115+K113-ДДС!K13-ДДС!K14</f>
        <v>-52000</v>
      </c>
      <c r="L115" s="66" t="n">
        <f aca="false">K115+L113-ДДС!L13-ДДС!L14</f>
        <v>-82806.94</v>
      </c>
      <c r="M115" s="66" t="n">
        <f aca="false">L115+M113-ДДС!M13-ДДС!M14</f>
        <v>-107773.26</v>
      </c>
      <c r="N115" s="66" t="n">
        <f aca="false">M115+N113-ДДС!N13-ДДС!N14</f>
        <v>-124603.28</v>
      </c>
      <c r="O115" s="66" t="n">
        <f aca="false">N115+O113-ДДС!O13-ДДС!O14</f>
        <v>-132660.44</v>
      </c>
      <c r="P115" s="66" t="n">
        <f aca="false">O115+P113-ДДС!P13-ДДС!P14</f>
        <v>-131477.08</v>
      </c>
      <c r="Q115" s="66" t="n">
        <f aca="false">P115+Q113-ДДС!Q13-ДДС!Q14</f>
        <v>-115426.78</v>
      </c>
      <c r="R115" s="66" t="n">
        <f aca="false">Q115+R113-ДДС!R13-ДДС!R14</f>
        <v>-79523.82</v>
      </c>
      <c r="S115" s="66" t="n">
        <f aca="false">R115+S113-ДДС!S13-ДДС!S14</f>
        <v>-21712.62</v>
      </c>
    </row>
    <row r="116" customFormat="false" ht="14.25" hidden="false" customHeight="false" outlineLevel="0" collapsed="false">
      <c r="B116" s="82" t="s">
        <v>384</v>
      </c>
      <c r="C116" s="27" t="s">
        <v>74</v>
      </c>
      <c r="D116" s="26"/>
      <c r="E116" s="26"/>
      <c r="F116" s="26"/>
      <c r="H116" s="83" t="str">
        <f aca="false">IF(H115&gt;=0,0,"")</f>
        <v/>
      </c>
      <c r="I116" s="83" t="str">
        <f aca="false">IF(AND(I115&gt;=0,H115&lt;0),(I$37-1)+(-H115)/(I115-H115),"")</f>
        <v/>
      </c>
      <c r="J116" s="83" t="str">
        <f aca="false">IF(AND(J115&gt;=0,I115&lt;0),(J$37-1)+(-I115)/(J115-I115),"")</f>
        <v/>
      </c>
      <c r="K116" s="83" t="str">
        <f aca="false">IF(AND(K115&gt;=0,J115&lt;0),(K$37-1)+(-J115)/(K115-J115),"")</f>
        <v/>
      </c>
      <c r="L116" s="83" t="str">
        <f aca="false">IF(AND(L115&gt;=0,K115&lt;0),(L$37-1)+(-K115)/(L115-K115),"")</f>
        <v/>
      </c>
      <c r="M116" s="83" t="str">
        <f aca="false">IF(AND(M115&gt;=0,L115&lt;0),(M$37-1)+(-L115)/(M115-L115),"")</f>
        <v/>
      </c>
      <c r="N116" s="83" t="str">
        <f aca="false">IF(AND(N115&gt;=0,M115&lt;0),(N$37-1)+(-M115)/(N115-M115),"")</f>
        <v/>
      </c>
      <c r="O116" s="83" t="str">
        <f aca="false">IF(AND(O115&gt;=0,N115&lt;0),(O$37-1)+(-N115)/(O115-N115),"")</f>
        <v/>
      </c>
      <c r="P116" s="83" t="str">
        <f aca="false">IF(AND(P115&gt;=0,O115&lt;0),(P$37-1)+(-O115)/(P115-O115),"")</f>
        <v/>
      </c>
      <c r="Q116" s="83" t="str">
        <f aca="false">IF(AND(Q115&gt;=0,P115&lt;0),(Q$37-1)+(-P115)/(Q115-P115),"")</f>
        <v/>
      </c>
      <c r="R116" s="83" t="str">
        <f aca="false">IF(AND(R115&gt;=0,Q115&lt;0),(R$37-1)+(-Q115)/(R115-Q115),"")</f>
        <v/>
      </c>
      <c r="S116" s="83" t="str">
        <f aca="false">IF(AND(S115&gt;=0,R115&lt;0),(S$37-1)+(-R115)/(S115-R115),"")</f>
        <v/>
      </c>
    </row>
    <row r="118" customFormat="false" ht="18" hidden="false" customHeight="true" outlineLevel="0" collapsed="false">
      <c r="B118" s="123" t="s">
        <v>385</v>
      </c>
      <c r="C118" s="123"/>
      <c r="D118" s="123"/>
      <c r="E118" s="123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</row>
    <row r="119" customFormat="false" ht="14.25" hidden="false" customHeight="false" outlineLevel="0" collapsed="false">
      <c r="B119" s="7" t="s">
        <v>386</v>
      </c>
      <c r="C119" s="27" t="s">
        <v>74</v>
      </c>
      <c r="D119" s="32" t="n">
        <v>2</v>
      </c>
      <c r="E119" s="15" t="s">
        <v>387</v>
      </c>
    </row>
    <row r="120" customFormat="false" ht="14.25" hidden="false" customHeight="false" outlineLevel="0" collapsed="false">
      <c r="B120" s="68" t="s">
        <v>388</v>
      </c>
      <c r="C120" s="69" t="s">
        <v>90</v>
      </c>
      <c r="D120" s="106"/>
      <c r="E120" s="106"/>
      <c r="F120" s="70" t="n">
        <f aca="false">SUM($H$120:$S$120)</f>
        <v>293686.95</v>
      </c>
      <c r="H120" s="70" t="n">
        <f aca="false">IF(H$37-Стресс_задержка&gt;=1,INDEX(ОПиУ!$H$15:$S$15,1,H$37-Стресс_задержка),0)</f>
        <v>0</v>
      </c>
      <c r="I120" s="70" t="n">
        <f aca="false">IF(I$37-Стресс_задержка&gt;=1,INDEX(ОПиУ!$H$15:$S$15,1,I$37-Стресс_задержка),0)</f>
        <v>0</v>
      </c>
      <c r="J120" s="70" t="n">
        <f aca="false">IF(J$37-Стресс_задержка&gt;=1,INDEX(ОПиУ!$H$15:$S$15,1,J$37-Стресс_задержка),0)</f>
        <v>0</v>
      </c>
      <c r="K120" s="70" t="n">
        <f aca="false">IF(K$37-Стресс_задержка&gt;=1,INDEX(ОПиУ!$H$15:$S$15,1,K$37-Стресс_задержка),0)</f>
        <v>0</v>
      </c>
      <c r="L120" s="70" t="n">
        <f aca="false">IF(L$37-Стресс_задержка&gt;=1,INDEX(ОПиУ!$H$15:$S$15,1,L$37-Стресс_задержка),0)</f>
        <v>0</v>
      </c>
      <c r="M120" s="70" t="n">
        <f aca="false">IF(M$37-Стресс_задержка&gt;=1,INDEX(ОПиУ!$H$15:$S$15,1,M$37-Стресс_задержка),0)</f>
        <v>0</v>
      </c>
      <c r="N120" s="70" t="n">
        <f aca="false">IF(N$37-Стресс_задержка&gt;=1,INDEX(ОПиУ!$H$15:$S$15,1,N$37-Стресс_задержка),0)</f>
        <v>10305.35</v>
      </c>
      <c r="O120" s="70" t="n">
        <f aca="false">IF(O$37-Стресс_задержка&gt;=1,INDEX(ОПиУ!$H$15:$S$15,1,O$37-Стресс_задержка),0)</f>
        <v>21378.7</v>
      </c>
      <c r="P120" s="70" t="n">
        <f aca="false">IF(P$37-Стресс_задержка&gt;=1,INDEX(ОПиУ!$H$15:$S$15,1,P$37-Стресс_задержка),0)</f>
        <v>36805.3</v>
      </c>
      <c r="Q120" s="70" t="n">
        <f aca="false">IF(Q$37-Стресс_задержка&gt;=1,INDEX(ОПиУ!$H$15:$S$15,1,Q$37-Стресс_задержка),0)</f>
        <v>53531.1</v>
      </c>
      <c r="R120" s="70" t="n">
        <f aca="false">IF(R$37-Стресс_задержка&gt;=1,INDEX(ОПиУ!$H$15:$S$15,1,R$37-Стресс_задержка),0)</f>
        <v>71647.7</v>
      </c>
      <c r="S120" s="70" t="n">
        <f aca="false">IF(S$37-Стресс_задержка&gt;=1,INDEX(ОПиУ!$H$15:$S$15,1,S$37-Стресс_задержка),0)</f>
        <v>100018.8</v>
      </c>
    </row>
    <row r="121" customFormat="false" ht="14.25" hidden="false" customHeight="false" outlineLevel="0" collapsed="false">
      <c r="B121" s="65" t="s">
        <v>379</v>
      </c>
      <c r="C121" s="27" t="s">
        <v>90</v>
      </c>
      <c r="F121" s="67" t="n">
        <f aca="false">SUM($H$121:$S$121)</f>
        <v>16570.08</v>
      </c>
      <c r="H121" s="66" t="n">
        <f aca="false">IF(H$37-Стресс_задержка&gt;=1,INDEX(Расходы!$H$19:$S$19,1,H$37-Стресс_задержка),0)</f>
        <v>0</v>
      </c>
      <c r="I121" s="66" t="n">
        <f aca="false">IF(I$37-Стресс_задержка&gt;=1,INDEX(Расходы!$H$19:$S$19,1,I$37-Стресс_задержка),0)</f>
        <v>0</v>
      </c>
      <c r="J121" s="66" t="n">
        <f aca="false">IF(J$37-Стресс_задержка&gt;=1,INDEX(Расходы!$H$19:$S$19,1,J$37-Стресс_задержка),0)</f>
        <v>0</v>
      </c>
      <c r="K121" s="66" t="n">
        <f aca="false">IF(K$37-Стресс_задержка&gt;=1,INDEX(Расходы!$H$19:$S$19,1,K$37-Стресс_задержка),0)</f>
        <v>0</v>
      </c>
      <c r="L121" s="66" t="n">
        <f aca="false">IF(L$37-Стресс_задержка&gt;=1,INDEX(Расходы!$H$19:$S$19,1,L$37-Стресс_задержка),0)</f>
        <v>0</v>
      </c>
      <c r="M121" s="66" t="n">
        <f aca="false">IF(M$37-Стресс_задержка&gt;=1,INDEX(Расходы!$H$19:$S$19,1,M$37-Стресс_задержка),0)</f>
        <v>0</v>
      </c>
      <c r="N121" s="66" t="n">
        <f aca="false">IF(N$37-Стресс_задержка&gt;=1,INDEX(Расходы!$H$19:$S$19,1,N$37-Стресс_задержка),0)</f>
        <v>487.74</v>
      </c>
      <c r="O121" s="66" t="n">
        <f aca="false">IF(O$37-Стресс_задержка&gt;=1,INDEX(Расходы!$H$19:$S$19,1,O$37-Стресс_задержка),0)</f>
        <v>1074.48</v>
      </c>
      <c r="P121" s="66" t="n">
        <f aca="false">IF(P$37-Стресс_задержка&gt;=1,INDEX(Расходы!$H$19:$S$19,1,P$37-Стресс_задержка),0)</f>
        <v>1912.92</v>
      </c>
      <c r="Q121" s="66" t="n">
        <f aca="false">IF(Q$37-Стресс_задержка&gt;=1,INDEX(Расходы!$H$19:$S$19,1,Q$37-Стресс_задержка),0)</f>
        <v>2903.04</v>
      </c>
      <c r="R121" s="66" t="n">
        <f aca="false">IF(R$37-Стресс_задержка&gt;=1,INDEX(Расходы!$H$19:$S$19,1,R$37-Стресс_задержка),0)</f>
        <v>4107.18</v>
      </c>
      <c r="S121" s="66" t="n">
        <f aca="false">IF(S$37-Стресс_задержка&gt;=1,INDEX(Расходы!$H$19:$S$19,1,S$37-Стресс_задержка),0)</f>
        <v>6084.72</v>
      </c>
    </row>
    <row r="122" customFormat="false" ht="14.25" hidden="false" customHeight="false" outlineLevel="0" collapsed="false">
      <c r="B122" s="65" t="s">
        <v>389</v>
      </c>
      <c r="C122" s="27" t="s">
        <v>90</v>
      </c>
      <c r="F122" s="67" t="n">
        <f aca="false">SUM($H$122:$S$122)</f>
        <v>358781.25</v>
      </c>
      <c r="H122" s="66" t="n">
        <f aca="false">IF(H$37-Стресс_задержка&gt;=1,INDEX(Расходы!$H$16:$S$16,1,H$37-Стресс_задержка),INDEX(Расходы!$H$16:$S$16,1,1))</f>
        <v>4000</v>
      </c>
      <c r="I122" s="66" t="n">
        <f aca="false">IF(I$37-Стресс_задержка&gt;=1,INDEX(Расходы!$H$16:$S$16,1,I$37-Стресс_задержка),INDEX(Расходы!$H$16:$S$16,1,1))</f>
        <v>4000</v>
      </c>
      <c r="J122" s="66" t="n">
        <f aca="false">IF(J$37-Стресс_задержка&gt;=1,INDEX(Расходы!$H$16:$S$16,1,J$37-Стресс_задержка),INDEX(Расходы!$H$16:$S$16,1,1))</f>
        <v>4000</v>
      </c>
      <c r="K122" s="66" t="n">
        <f aca="false">IF(K$37-Стресс_задержка&gt;=1,INDEX(Расходы!$H$16:$S$16,1,K$37-Стресс_задержка),INDEX(Расходы!$H$16:$S$16,1,1))</f>
        <v>6000</v>
      </c>
      <c r="L122" s="66" t="n">
        <f aca="false">IF(L$37-Стресс_задержка&gt;=1,INDEX(Расходы!$H$16:$S$16,1,L$37-Стресс_задержка),INDEX(Расходы!$H$16:$S$16,1,1))</f>
        <v>16000</v>
      </c>
      <c r="M122" s="66" t="n">
        <f aca="false">IF(M$37-Стресс_задержка&gt;=1,INDEX(Расходы!$H$16:$S$16,1,M$37-Стресс_задержка),INDEX(Расходы!$H$16:$S$16,1,1))</f>
        <v>26000</v>
      </c>
      <c r="N122" s="66" t="n">
        <f aca="false">IF(N$37-Стресс_задержка&gt;=1,INDEX(Расходы!$H$16:$S$16,1,N$37-Стресс_задержка),INDEX(Расходы!$H$16:$S$16,1,1))</f>
        <v>46911.25</v>
      </c>
      <c r="O122" s="66" t="n">
        <f aca="false">IF(O$37-Стресс_задержка&gt;=1,INDEX(Расходы!$H$16:$S$16,1,O$37-Стресс_задержка),INDEX(Расходы!$H$16:$S$16,1,1))</f>
        <v>47822.5</v>
      </c>
      <c r="P122" s="66" t="n">
        <f aca="false">IF(P$37-Стресс_задержка&gt;=1,INDEX(Расходы!$H$16:$S$16,1,P$37-Стресс_задержка),INDEX(Расходы!$H$16:$S$16,1,1))</f>
        <v>49037.5</v>
      </c>
      <c r="Q122" s="66" t="n">
        <f aca="false">IF(Q$37-Стресс_задержка&gt;=1,INDEX(Расходы!$H$16:$S$16,1,Q$37-Стресс_задержка),INDEX(Расходы!$H$16:$S$16,1,1))</f>
        <v>50252.5</v>
      </c>
      <c r="R122" s="66" t="n">
        <f aca="false">IF(R$37-Стресс_задержка&gt;=1,INDEX(Расходы!$H$16:$S$16,1,R$37-Стресс_задержка),INDEX(Расходы!$H$16:$S$16,1,1))</f>
        <v>51467.5</v>
      </c>
      <c r="S122" s="66" t="n">
        <f aca="false">IF(S$37-Стресс_задержка&gt;=1,INDEX(Расходы!$H$16:$S$16,1,S$37-Стресс_задержка),INDEX(Расходы!$H$16:$S$16,1,1))</f>
        <v>53290</v>
      </c>
    </row>
    <row r="123" customFormat="false" ht="14.25" hidden="false" customHeight="false" outlineLevel="0" collapsed="false">
      <c r="B123" s="68" t="s">
        <v>48</v>
      </c>
      <c r="C123" s="69" t="s">
        <v>90</v>
      </c>
      <c r="D123" s="106"/>
      <c r="E123" s="106"/>
      <c r="F123" s="70" t="n">
        <f aca="false">SUM($H$123:$S$123)</f>
        <v>-81664.38</v>
      </c>
      <c r="H123" s="70" t="n">
        <f aca="false">H120-H121-H122</f>
        <v>-4000</v>
      </c>
      <c r="I123" s="70" t="n">
        <f aca="false">I120-I121-I122</f>
        <v>-4000</v>
      </c>
      <c r="J123" s="70" t="n">
        <f aca="false">J120-J121-J122</f>
        <v>-4000</v>
      </c>
      <c r="K123" s="70" t="n">
        <f aca="false">K120-K121-K122</f>
        <v>-6000</v>
      </c>
      <c r="L123" s="70" t="n">
        <f aca="false">L120-L121-L122</f>
        <v>-16000</v>
      </c>
      <c r="M123" s="70" t="n">
        <f aca="false">M120-M121-M122</f>
        <v>-26000</v>
      </c>
      <c r="N123" s="70" t="n">
        <f aca="false">N120-N121-N122</f>
        <v>-37093.64</v>
      </c>
      <c r="O123" s="70" t="n">
        <f aca="false">O120-O121-O122</f>
        <v>-27518.28</v>
      </c>
      <c r="P123" s="70" t="n">
        <f aca="false">P120-P121-P122</f>
        <v>-14145.12</v>
      </c>
      <c r="Q123" s="70" t="n">
        <f aca="false">Q120-Q121-Q122</f>
        <v>375.560000000005</v>
      </c>
      <c r="R123" s="70" t="n">
        <f aca="false">R120-R121-R122</f>
        <v>16073.02</v>
      </c>
      <c r="S123" s="70" t="n">
        <f aca="false">S120-S121-S122</f>
        <v>40644.08</v>
      </c>
    </row>
    <row r="124" customFormat="false" ht="14.25" hidden="true" customHeight="false" outlineLevel="0" collapsed="false">
      <c r="B124" s="65" t="s">
        <v>390</v>
      </c>
      <c r="C124" s="27" t="s">
        <v>90</v>
      </c>
      <c r="F124" s="67" t="n">
        <f aca="false">SUM($H$124:$S$124)</f>
        <v>0</v>
      </c>
      <c r="H124" s="98" t="n">
        <f aca="false">0</f>
        <v>0</v>
      </c>
      <c r="I124" s="98" t="n">
        <f aca="false">0</f>
        <v>0</v>
      </c>
      <c r="J124" s="98" t="n">
        <f aca="false">0</f>
        <v>0</v>
      </c>
      <c r="K124" s="98" t="n">
        <f aca="false">0</f>
        <v>0</v>
      </c>
      <c r="L124" s="98" t="n">
        <f aca="false">0</f>
        <v>0</v>
      </c>
      <c r="M124" s="98" t="n">
        <f aca="false">0</f>
        <v>0</v>
      </c>
      <c r="N124" s="98" t="n">
        <f aca="false">0</f>
        <v>0</v>
      </c>
      <c r="O124" s="98" t="n">
        <f aca="false">0</f>
        <v>0</v>
      </c>
      <c r="P124" s="98" t="n">
        <f aca="false">0</f>
        <v>0</v>
      </c>
      <c r="Q124" s="98" t="n">
        <f aca="false">0</f>
        <v>0</v>
      </c>
      <c r="R124" s="98" t="n">
        <f aca="false">0</f>
        <v>0</v>
      </c>
      <c r="S124" s="98" t="n">
        <f aca="false">0</f>
        <v>0</v>
      </c>
    </row>
    <row r="125" customFormat="false" ht="14.25" hidden="false" customHeight="false" outlineLevel="0" collapsed="false">
      <c r="B125" s="82" t="s">
        <v>381</v>
      </c>
      <c r="C125" s="27" t="s">
        <v>90</v>
      </c>
      <c r="D125" s="26"/>
      <c r="E125" s="26"/>
      <c r="F125" s="105" t="n">
        <f aca="false">S125</f>
        <v>293686.95</v>
      </c>
      <c r="H125" s="105" t="n">
        <f aca="false">IF(H$37-Лаг_выручки&gt;=1,INDEX($H120:$S120,1,H$37-Лаг_выручки),0)</f>
        <v>0</v>
      </c>
      <c r="I125" s="105" t="n">
        <f aca="false">IF(YEAR(I$38)=YEAR(H$38),H125,0)+IF(I$37-Лаг_выручки&gt;=1,INDEX($H120:$S120,1,I$37-Лаг_выручки),0)</f>
        <v>0</v>
      </c>
      <c r="J125" s="105" t="n">
        <f aca="false">IF(YEAR(J$38)=YEAR(I$38),I125,0)+IF(J$37-Лаг_выручки&gt;=1,INDEX($H120:$S120,1,J$37-Лаг_выручки),0)</f>
        <v>0</v>
      </c>
      <c r="K125" s="105" t="n">
        <f aca="false">IF(YEAR(K$38)=YEAR(J$38),J125,0)+IF(K$37-Лаг_выручки&gt;=1,INDEX($H120:$S120,1,K$37-Лаг_выручки),0)</f>
        <v>0</v>
      </c>
      <c r="L125" s="105" t="n">
        <f aca="false">IF(YEAR(L$38)=YEAR(K$38),K125,0)+IF(L$37-Лаг_выручки&gt;=1,INDEX($H120:$S120,1,L$37-Лаг_выручки),0)</f>
        <v>0</v>
      </c>
      <c r="M125" s="105" t="n">
        <f aca="false">IF(YEAR(M$38)=YEAR(L$38),L125,0)+IF(M$37-Лаг_выручки&gt;=1,INDEX($H120:$S120,1,M$37-Лаг_выручки),0)</f>
        <v>0</v>
      </c>
      <c r="N125" s="105" t="n">
        <f aca="false">IF(YEAR(N$38)=YEAR(M$38),M125,0)+IF(N$37-Лаг_выручки&gt;=1,INDEX($H120:$S120,1,N$37-Лаг_выручки),0)</f>
        <v>10305.35</v>
      </c>
      <c r="O125" s="105" t="n">
        <f aca="false">IF(YEAR(O$38)=YEAR(N$38),N125,0)+IF(O$37-Лаг_выручки&gt;=1,INDEX($H120:$S120,1,O$37-Лаг_выручки),0)</f>
        <v>31684.05</v>
      </c>
      <c r="P125" s="105" t="n">
        <f aca="false">IF(YEAR(P$38)=YEAR(O$38),O125,0)+IF(P$37-Лаг_выручки&gt;=1,INDEX($H120:$S120,1,P$37-Лаг_выручки),0)</f>
        <v>68489.35</v>
      </c>
      <c r="Q125" s="105" t="n">
        <f aca="false">IF(YEAR(Q$38)=YEAR(P$38),P125,0)+IF(Q$37-Лаг_выручки&gt;=1,INDEX($H120:$S120,1,Q$37-Лаг_выручки),0)</f>
        <v>122020.45</v>
      </c>
      <c r="R125" s="105" t="n">
        <f aca="false">IF(YEAR(R$38)=YEAR(Q$38),Q125,0)+IF(R$37-Лаг_выручки&gt;=1,INDEX($H120:$S120,1,R$37-Лаг_выручки),0)</f>
        <v>193668.15</v>
      </c>
      <c r="S125" s="105" t="n">
        <f aca="false">IF(YEAR(S$38)=YEAR(R$38),R125,0)+IF(S$37-Лаг_выручки&gt;=1,INDEX($H120:$S120,1,S$37-Лаг_выручки),0)</f>
        <v>293686.95</v>
      </c>
    </row>
    <row r="126" customFormat="false" ht="14.25" hidden="false" customHeight="false" outlineLevel="0" collapsed="false">
      <c r="B126" s="82" t="s">
        <v>314</v>
      </c>
      <c r="C126" s="27" t="s">
        <v>90</v>
      </c>
      <c r="D126" s="26"/>
      <c r="E126" s="26"/>
      <c r="F126" s="105" t="n">
        <f aca="false">S126</f>
        <v>0</v>
      </c>
      <c r="H126" s="105" t="n">
        <f aca="false">MAX(0,Ставка_УСН*H125-MIN(Взносы_вычет,Лимит_вычета*Ставка_УСН*H125))</f>
        <v>0</v>
      </c>
      <c r="I126" s="105" t="n">
        <f aca="false">MAX(0,Ставка_УСН*I125-MIN(Взносы_вычет,Лимит_вычета*Ставка_УСН*I125))</f>
        <v>0</v>
      </c>
      <c r="J126" s="105" t="n">
        <f aca="false">MAX(0,Ставка_УСН*J125-MIN(Взносы_вычет,Лимит_вычета*Ставка_УСН*J125))</f>
        <v>0</v>
      </c>
      <c r="K126" s="105" t="n">
        <f aca="false">MAX(0,Ставка_УСН*K125-MIN(Взносы_вычет,Лимит_вычета*Ставка_УСН*K125))</f>
        <v>0</v>
      </c>
      <c r="L126" s="105" t="n">
        <f aca="false">MAX(0,Ставка_УСН*L125-MIN(Взносы_вычет,Лимит_вычета*Ставка_УСН*L125))</f>
        <v>0</v>
      </c>
      <c r="M126" s="105" t="n">
        <f aca="false">MAX(0,Ставка_УСН*M125-MIN(Взносы_вычет,Лимит_вычета*Ставка_УСН*M125))</f>
        <v>0</v>
      </c>
      <c r="N126" s="105" t="n">
        <f aca="false">MAX(0,Ставка_УСН*N125-MIN(Взносы_вычет,Лимит_вычета*Ставка_УСН*N125))</f>
        <v>0</v>
      </c>
      <c r="O126" s="105" t="n">
        <f aca="false">MAX(0,Ставка_УСН*O125-MIN(Взносы_вычет,Лимит_вычета*Ставка_УСН*O125))</f>
        <v>0</v>
      </c>
      <c r="P126" s="105" t="n">
        <f aca="false">MAX(0,Ставка_УСН*P125-MIN(Взносы_вычет,Лимит_вычета*Ставка_УСН*P125))</f>
        <v>0</v>
      </c>
      <c r="Q126" s="105" t="n">
        <f aca="false">MAX(0,Ставка_УСН*Q125-MIN(Взносы_вычет,Лимит_вычета*Ставка_УСН*Q125))</f>
        <v>0</v>
      </c>
      <c r="R126" s="105" t="n">
        <f aca="false">MAX(0,Ставка_УСН*R125-MIN(Взносы_вычет,Лимит_вычета*Ставка_УСН*R125))</f>
        <v>0</v>
      </c>
      <c r="S126" s="105" t="n">
        <f aca="false">MAX(0,Ставка_УСН*S125-MIN(Взносы_вычет,Лимит_вычета*Ставка_УСН*S125))</f>
        <v>0</v>
      </c>
    </row>
    <row r="127" customFormat="false" ht="14.25" hidden="false" customHeight="false" outlineLevel="0" collapsed="false">
      <c r="B127" s="65" t="s">
        <v>382</v>
      </c>
      <c r="C127" s="27" t="s">
        <v>90</v>
      </c>
      <c r="F127" s="67" t="n">
        <f aca="false">SUM($H$127:$S$127)</f>
        <v>0</v>
      </c>
      <c r="H127" s="66" t="n">
        <f aca="false">H126</f>
        <v>0</v>
      </c>
      <c r="I127" s="66" t="n">
        <f aca="false">I126-IF(YEAR(I$38)=YEAR(H$38),H126,0)</f>
        <v>0</v>
      </c>
      <c r="J127" s="66" t="n">
        <f aca="false">J126-IF(YEAR(J$38)=YEAR(I$38),I126,0)</f>
        <v>0</v>
      </c>
      <c r="K127" s="66" t="n">
        <f aca="false">K126-IF(YEAR(K$38)=YEAR(J$38),J126,0)</f>
        <v>0</v>
      </c>
      <c r="L127" s="66" t="n">
        <f aca="false">L126-IF(YEAR(L$38)=YEAR(K$38),K126,0)</f>
        <v>0</v>
      </c>
      <c r="M127" s="66" t="n">
        <f aca="false">M126-IF(YEAR(M$38)=YEAR(L$38),L126,0)</f>
        <v>0</v>
      </c>
      <c r="N127" s="66" t="n">
        <f aca="false">N126-IF(YEAR(N$38)=YEAR(M$38),M126,0)</f>
        <v>0</v>
      </c>
      <c r="O127" s="66" t="n">
        <f aca="false">O126-IF(YEAR(O$38)=YEAR(N$38),N126,0)</f>
        <v>0</v>
      </c>
      <c r="P127" s="66" t="n">
        <f aca="false">P126-IF(YEAR(P$38)=YEAR(O$38),O126,0)</f>
        <v>0</v>
      </c>
      <c r="Q127" s="66" t="n">
        <f aca="false">Q126-IF(YEAR(Q$38)=YEAR(P$38),P126,0)</f>
        <v>0</v>
      </c>
      <c r="R127" s="66" t="n">
        <f aca="false">R126-IF(YEAR(R$38)=YEAR(Q$38),Q126,0)</f>
        <v>0</v>
      </c>
      <c r="S127" s="66" t="n">
        <f aca="false">S126-IF(YEAR(S$38)=YEAR(R$38),R126,0)</f>
        <v>0</v>
      </c>
    </row>
    <row r="128" customFormat="false" ht="14.25" hidden="false" customHeight="false" outlineLevel="0" collapsed="false">
      <c r="B128" s="99" t="s">
        <v>12</v>
      </c>
      <c r="C128" s="100" t="s">
        <v>90</v>
      </c>
      <c r="D128" s="124"/>
      <c r="E128" s="124"/>
      <c r="F128" s="101" t="n">
        <f aca="false">SUM($H$128:$S$128)</f>
        <v>-81664.38</v>
      </c>
      <c r="G128" s="102"/>
      <c r="H128" s="101" t="n">
        <f aca="false">H123-H124-H127</f>
        <v>-4000</v>
      </c>
      <c r="I128" s="101" t="n">
        <f aca="false">I123-I124-I127</f>
        <v>-4000</v>
      </c>
      <c r="J128" s="101" t="n">
        <f aca="false">J123-J124-J127</f>
        <v>-4000</v>
      </c>
      <c r="K128" s="101" t="n">
        <f aca="false">K123-K124-K127</f>
        <v>-6000</v>
      </c>
      <c r="L128" s="101" t="n">
        <f aca="false">L123-L124-L127</f>
        <v>-16000</v>
      </c>
      <c r="M128" s="101" t="n">
        <f aca="false">M123-M124-M127</f>
        <v>-26000</v>
      </c>
      <c r="N128" s="101" t="n">
        <f aca="false">N123-N124-N127</f>
        <v>-37093.64</v>
      </c>
      <c r="O128" s="101" t="n">
        <f aca="false">O123-O124-O127</f>
        <v>-27518.28</v>
      </c>
      <c r="P128" s="101" t="n">
        <f aca="false">P123-P124-P127</f>
        <v>-14145.12</v>
      </c>
      <c r="Q128" s="101" t="n">
        <f aca="false">Q123-Q124-Q127</f>
        <v>375.560000000005</v>
      </c>
      <c r="R128" s="101" t="n">
        <f aca="false">R123-R124-R127</f>
        <v>16073.02</v>
      </c>
      <c r="S128" s="101" t="n">
        <f aca="false">S123-S124-S127</f>
        <v>40644.08</v>
      </c>
    </row>
    <row r="129" customFormat="false" ht="14.25" hidden="false" customHeight="false" outlineLevel="0" collapsed="false">
      <c r="B129" s="65" t="s">
        <v>391</v>
      </c>
      <c r="C129" s="27" t="s">
        <v>90</v>
      </c>
      <c r="F129" s="67" t="n">
        <f aca="false">SUM($H$129:$S$129)</f>
        <v>277116.87</v>
      </c>
      <c r="H129" s="66" t="n">
        <f aca="false">IF(H$37-Лаг_выручки&gt;=1,INDEX($H120:$S120,1,H$37-Лаг_выручки)-INDEX($H121:$S121,1,H$37-Лаг_выручки),0)</f>
        <v>0</v>
      </c>
      <c r="I129" s="66" t="n">
        <f aca="false">IF(I$37-Лаг_выручки&gt;=1,INDEX($H120:$S120,1,I$37-Лаг_выручки)-INDEX($H121:$S121,1,I$37-Лаг_выручки),0)</f>
        <v>0</v>
      </c>
      <c r="J129" s="66" t="n">
        <f aca="false">IF(J$37-Лаг_выручки&gt;=1,INDEX($H120:$S120,1,J$37-Лаг_выручки)-INDEX($H121:$S121,1,J$37-Лаг_выручки),0)</f>
        <v>0</v>
      </c>
      <c r="K129" s="66" t="n">
        <f aca="false">IF(K$37-Лаг_выручки&gt;=1,INDEX($H120:$S120,1,K$37-Лаг_выручки)-INDEX($H121:$S121,1,K$37-Лаг_выручки),0)</f>
        <v>0</v>
      </c>
      <c r="L129" s="66" t="n">
        <f aca="false">IF(L$37-Лаг_выручки&gt;=1,INDEX($H120:$S120,1,L$37-Лаг_выручки)-INDEX($H121:$S121,1,L$37-Лаг_выручки),0)</f>
        <v>0</v>
      </c>
      <c r="M129" s="66" t="n">
        <f aca="false">IF(M$37-Лаг_выручки&gt;=1,INDEX($H120:$S120,1,M$37-Лаг_выручки)-INDEX($H121:$S121,1,M$37-Лаг_выручки),0)</f>
        <v>0</v>
      </c>
      <c r="N129" s="66" t="n">
        <f aca="false">IF(N$37-Лаг_выручки&gt;=1,INDEX($H120:$S120,1,N$37-Лаг_выручки)-INDEX($H121:$S121,1,N$37-Лаг_выручки),0)</f>
        <v>9817.61</v>
      </c>
      <c r="O129" s="66" t="n">
        <f aca="false">IF(O$37-Лаг_выручки&gt;=1,INDEX($H120:$S120,1,O$37-Лаг_выручки)-INDEX($H121:$S121,1,O$37-Лаг_выручки),0)</f>
        <v>20304.22</v>
      </c>
      <c r="P129" s="66" t="n">
        <f aca="false">IF(P$37-Лаг_выручки&gt;=1,INDEX($H120:$S120,1,P$37-Лаг_выручки)-INDEX($H121:$S121,1,P$37-Лаг_выручки),0)</f>
        <v>34892.38</v>
      </c>
      <c r="Q129" s="66" t="n">
        <f aca="false">IF(Q$37-Лаг_выручки&gt;=1,INDEX($H120:$S120,1,Q$37-Лаг_выручки)-INDEX($H121:$S121,1,Q$37-Лаг_выручки),0)</f>
        <v>50628.06</v>
      </c>
      <c r="R129" s="66" t="n">
        <f aca="false">IF(R$37-Лаг_выручки&gt;=1,INDEX($H120:$S120,1,R$37-Лаг_выручки)-INDEX($H121:$S121,1,R$37-Лаг_выручки),0)</f>
        <v>67540.52</v>
      </c>
      <c r="S129" s="66" t="n">
        <f aca="false">IF(S$37-Лаг_выручки&gt;=1,INDEX($H120:$S120,1,S$37-Лаг_выручки)-INDEX($H121:$S121,1,S$37-Лаг_выручки),0)</f>
        <v>93934.08</v>
      </c>
    </row>
    <row r="130" customFormat="false" ht="14.25" hidden="false" customHeight="false" outlineLevel="0" collapsed="false">
      <c r="B130" s="65" t="s">
        <v>60</v>
      </c>
      <c r="C130" s="27" t="s">
        <v>90</v>
      </c>
      <c r="F130" s="67" t="n">
        <f aca="false">SUM($H$130:$S$130)</f>
        <v>118335.62</v>
      </c>
      <c r="H130" s="66" t="n">
        <f aca="false">H129-H122-H127-H124+ДДС!H13</f>
        <v>196000</v>
      </c>
      <c r="I130" s="66" t="n">
        <f aca="false">I129-I122-I127-I124+ДДС!I13</f>
        <v>-4000</v>
      </c>
      <c r="J130" s="66" t="n">
        <f aca="false">J129-J122-J127-J124+ДДС!J13</f>
        <v>-4000</v>
      </c>
      <c r="K130" s="66" t="n">
        <f aca="false">K129-K122-K127-K124+ДДС!K13</f>
        <v>-6000</v>
      </c>
      <c r="L130" s="66" t="n">
        <f aca="false">L129-L122-L127-L124+ДДС!L13</f>
        <v>-16000</v>
      </c>
      <c r="M130" s="66" t="n">
        <f aca="false">M129-M122-M127-M124+ДДС!M13</f>
        <v>-26000</v>
      </c>
      <c r="N130" s="66" t="n">
        <f aca="false">N129-N122-N127-N124+ДДС!N13</f>
        <v>-37093.64</v>
      </c>
      <c r="O130" s="66" t="n">
        <f aca="false">O129-O122-O127-O124+ДДС!O13</f>
        <v>-27518.28</v>
      </c>
      <c r="P130" s="66" t="n">
        <f aca="false">P129-P122-P127-P124+ДДС!P13</f>
        <v>-14145.12</v>
      </c>
      <c r="Q130" s="66" t="n">
        <f aca="false">Q129-Q122-Q127-Q124+ДДС!Q13</f>
        <v>375.560000000005</v>
      </c>
      <c r="R130" s="66" t="n">
        <f aca="false">R129-R122-R127-R124+ДДС!R13</f>
        <v>16073.02</v>
      </c>
      <c r="S130" s="66" t="n">
        <f aca="false">S129-S122-S127-S124+ДДС!S13</f>
        <v>40644.08</v>
      </c>
    </row>
    <row r="131" customFormat="false" ht="14.25" hidden="false" customHeight="false" outlineLevel="0" collapsed="false">
      <c r="B131" s="68" t="s">
        <v>331</v>
      </c>
      <c r="C131" s="69" t="s">
        <v>90</v>
      </c>
      <c r="D131" s="106"/>
      <c r="E131" s="106"/>
      <c r="F131" s="70" t="n">
        <f aca="false">S131</f>
        <v>118335.62</v>
      </c>
      <c r="H131" s="70" t="n">
        <f aca="false">H130</f>
        <v>196000</v>
      </c>
      <c r="I131" s="70" t="n">
        <f aca="false">H131+I130</f>
        <v>192000</v>
      </c>
      <c r="J131" s="70" t="n">
        <f aca="false">I131+J130</f>
        <v>188000</v>
      </c>
      <c r="K131" s="70" t="n">
        <f aca="false">J131+K130</f>
        <v>182000</v>
      </c>
      <c r="L131" s="70" t="n">
        <f aca="false">K131+L130</f>
        <v>166000</v>
      </c>
      <c r="M131" s="70" t="n">
        <f aca="false">L131+M130</f>
        <v>140000</v>
      </c>
      <c r="N131" s="70" t="n">
        <f aca="false">M131+N130</f>
        <v>102906.36</v>
      </c>
      <c r="O131" s="70" t="n">
        <f aca="false">N131+O130</f>
        <v>75388.08</v>
      </c>
      <c r="P131" s="70" t="n">
        <f aca="false">O131+P130</f>
        <v>61242.96</v>
      </c>
      <c r="Q131" s="70" t="n">
        <f aca="false">P131+Q130</f>
        <v>61618.52</v>
      </c>
      <c r="R131" s="70" t="n">
        <f aca="false">Q131+R130</f>
        <v>77691.54</v>
      </c>
      <c r="S131" s="70" t="n">
        <f aca="false">R131+S130</f>
        <v>118335.62</v>
      </c>
    </row>
    <row r="132" customFormat="false" ht="14.25" hidden="false" customHeight="false" outlineLevel="0" collapsed="false">
      <c r="B132" s="15" t="s">
        <v>392</v>
      </c>
    </row>
  </sheetData>
  <conditionalFormatting sqref="H57:S57">
    <cfRule type="cellIs" priority="2" operator="lessThan" aboveAverage="0" equalAverage="0" bottom="0" percent="0" rank="0" text="" dxfId="8">
      <formula>0</formula>
    </cfRule>
  </conditionalFormatting>
  <conditionalFormatting sqref="H76:S76">
    <cfRule type="cellIs" priority="3" operator="lessThan" aboveAverage="0" equalAverage="0" bottom="0" percent="0" rank="0" text="" dxfId="9">
      <formula>0</formula>
    </cfRule>
  </conditionalFormatting>
  <conditionalFormatting sqref="H95:S95">
    <cfRule type="cellIs" priority="4" operator="lessThan" aboveAverage="0" equalAverage="0" bottom="0" percent="0" rank="0" text="" dxfId="10">
      <formula>0</formula>
    </cfRule>
  </conditionalFormatting>
  <conditionalFormatting sqref="H114:S114">
    <cfRule type="cellIs" priority="5" operator="lessThan" aboveAverage="0" equalAverage="0" bottom="0" percent="0" rank="0" text="" dxfId="11">
      <formula>0</formula>
    </cfRule>
  </conditionalFormatting>
  <conditionalFormatting sqref="H131:S131">
    <cfRule type="cellIs" priority="6" operator="lessThan" aboveAverage="0" equalAverage="0" bottom="0" percent="0" rank="0" text="" dxfId="12">
      <formula>0</formula>
    </cfRule>
  </conditionalFormatting>
  <dataValidations count="1">
    <dataValidation allowBlank="false" error="От 0 до 8 месяцев" errorStyle="stop" operator="between" showDropDown="false" showErrorMessage="true" showInputMessage="false" sqref="D119" type="whole">
      <formula1>0</formula1>
      <formula2>8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B2:S13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H118" activeCellId="0" sqref="H118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1" width="1.44"/>
    <col collapsed="false" customWidth="true" hidden="false" outlineLevel="0" max="2" min="2" style="1" width="56"/>
    <col collapsed="false" customWidth="true" hidden="false" outlineLevel="0" max="3" min="3" style="1" width="9"/>
    <col collapsed="false" customWidth="true" hidden="false" outlineLevel="0" max="4" min="4" style="1" width="15"/>
    <col collapsed="false" customWidth="true" hidden="false" outlineLevel="0" max="6" min="5" style="1" width="13.44"/>
    <col collapsed="false" customWidth="true" hidden="false" outlineLevel="0" max="7" min="7" style="1" width="1.44"/>
    <col collapsed="false" customWidth="true" hidden="false" outlineLevel="0" max="19" min="8" style="1" width="11.44"/>
  </cols>
  <sheetData>
    <row r="2" customFormat="false" ht="24" hidden="false" customHeight="true" outlineLevel="0" collapsed="false">
      <c r="B2" s="16" t="s">
        <v>393</v>
      </c>
    </row>
    <row r="3" customFormat="false" ht="14.25" hidden="false" customHeight="false" outlineLevel="0" collapsed="false">
      <c r="B3" s="5" t="str">
        <f aca="false">"Активный сценарий: «"&amp;Сценарий&amp;"». Все значения считаются формулами из листов модели."</f>
        <v>Активный сценарий: «Базовый». Все значения считаются формулами из листов модели.</v>
      </c>
    </row>
    <row r="5" customFormat="false" ht="16.5" hidden="false" customHeight="true" outlineLevel="0" collapsed="false">
      <c r="B5" s="6" t="s">
        <v>394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customFormat="false" ht="27.75" hidden="false" customHeight="true" outlineLevel="0" collapsed="false">
      <c r="B6" s="62" t="s">
        <v>51</v>
      </c>
      <c r="C6" s="55" t="s">
        <v>128</v>
      </c>
      <c r="D6" s="55" t="s">
        <v>395</v>
      </c>
      <c r="E6" s="55" t="s">
        <v>396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customFormat="false" ht="14.25" hidden="false" customHeight="false" outlineLevel="0" collapsed="false">
      <c r="B7" s="125" t="s">
        <v>11</v>
      </c>
      <c r="C7" s="108" t="s">
        <v>90</v>
      </c>
      <c r="D7" s="114" t="n">
        <f aca="false">ОПиУ!$F$15</f>
        <v>612516.15</v>
      </c>
      <c r="E7" s="126" t="s">
        <v>397</v>
      </c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</row>
    <row r="8" customFormat="false" ht="14.25" hidden="false" customHeight="false" outlineLevel="0" collapsed="false">
      <c r="B8" s="127" t="s">
        <v>48</v>
      </c>
      <c r="C8" s="108" t="s">
        <v>90</v>
      </c>
      <c r="D8" s="114" t="n">
        <f aca="false">ОПиУ!$F$26</f>
        <v>110635.14</v>
      </c>
      <c r="E8" s="126" t="s">
        <v>398</v>
      </c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</row>
    <row r="9" customFormat="false" ht="14.25" hidden="false" customHeight="false" outlineLevel="0" collapsed="false">
      <c r="B9" s="125" t="s">
        <v>12</v>
      </c>
      <c r="C9" s="108" t="s">
        <v>90</v>
      </c>
      <c r="D9" s="114" t="n">
        <f aca="false">ОПиУ!$F$31</f>
        <v>110635.14</v>
      </c>
      <c r="E9" s="126" t="s">
        <v>399</v>
      </c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</row>
    <row r="10" customFormat="false" ht="14.25" hidden="false" customHeight="false" outlineLevel="0" collapsed="false">
      <c r="B10" s="127" t="s">
        <v>302</v>
      </c>
      <c r="C10" s="108" t="s">
        <v>106</v>
      </c>
      <c r="D10" s="128" t="n">
        <f aca="false">IFERROR(ОПиУ!$F$26/ОПиУ!$F$15,0)</f>
        <v>0.18062403742334</v>
      </c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</row>
    <row r="11" customFormat="false" ht="14.25" hidden="false" customHeight="false" outlineLevel="0" collapsed="false">
      <c r="B11" s="127" t="s">
        <v>307</v>
      </c>
      <c r="C11" s="108" t="s">
        <v>106</v>
      </c>
      <c r="D11" s="128" t="n">
        <f aca="false">IFERROR(ОПиУ!$F$31/ОПиУ!$F$15,0)</f>
        <v>0.18062403742334</v>
      </c>
      <c r="E11" s="126" t="s">
        <v>400</v>
      </c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</row>
    <row r="12" customFormat="false" ht="14.25" hidden="false" customHeight="false" outlineLevel="0" collapsed="false">
      <c r="B12" s="125" t="s">
        <v>13</v>
      </c>
      <c r="C12" s="108" t="s">
        <v>106</v>
      </c>
      <c r="D12" s="128" t="n">
        <f aca="false">IFERROR(ОПиУ!$F$31/Собств_капитал,0)</f>
        <v>0.5531757</v>
      </c>
      <c r="E12" s="126" t="s">
        <v>401</v>
      </c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</row>
    <row r="13" customFormat="false" ht="14.25" hidden="true" customHeight="false" outlineLevel="0" collapsed="false">
      <c r="B13" s="127" t="s">
        <v>402</v>
      </c>
      <c r="C13" s="108" t="s">
        <v>106</v>
      </c>
      <c r="D13" s="128" t="n">
        <f aca="false">IFERROR(ОПиУ!$F$31/Финансирование,0)</f>
        <v>0.5531757</v>
      </c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</row>
    <row r="14" customFormat="false" ht="14.25" hidden="false" customHeight="false" outlineLevel="0" collapsed="false">
      <c r="B14" s="125" t="s">
        <v>403</v>
      </c>
      <c r="C14" s="108" t="s">
        <v>90</v>
      </c>
      <c r="D14" s="114" t="n">
        <f aca="false">ДДС!$S$27</f>
        <v>310635.14</v>
      </c>
      <c r="E14" s="126" t="s">
        <v>404</v>
      </c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</row>
    <row r="15" customFormat="false" ht="14.25" hidden="false" customHeight="false" outlineLevel="0" collapsed="false">
      <c r="B15" s="127" t="s">
        <v>405</v>
      </c>
      <c r="C15" s="108" t="s">
        <v>90</v>
      </c>
      <c r="D15" s="114" t="n">
        <f aca="false">MIN(ДДС!$H$27:$S$27)</f>
        <v>69242.96</v>
      </c>
      <c r="E15" s="129" t="s">
        <v>406</v>
      </c>
      <c r="F15" s="107" t="str">
        <f aca="false">INDEX(ДДС!$H$5:$S$5,1,MATCH(MIN(ДДС!$H$27:$S$27),ДДС!$H$27:$S$27,0))</f>
        <v>Мар 2027</v>
      </c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</row>
    <row r="16" customFormat="false" ht="14.25" hidden="false" customHeight="false" outlineLevel="0" collapsed="false">
      <c r="B16" s="127" t="s">
        <v>407</v>
      </c>
      <c r="C16" s="108"/>
      <c r="D16" s="130" t="str">
        <f aca="false">IF(MIN(ДДС!$H$27:$S$27)&lt;0,"есть: не хватает "&amp;FIXED(-MIN(ДДС!$H$27:$S$27),0)&amp;" ₽","нет")</f>
        <v>нет</v>
      </c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</row>
    <row r="17" customFormat="false" ht="14.25" hidden="false" customHeight="false" outlineLevel="0" collapsed="false">
      <c r="B17" s="125" t="s">
        <v>408</v>
      </c>
      <c r="C17" s="108" t="s">
        <v>59</v>
      </c>
      <c r="D17" s="114" t="n">
        <f aca="false">BEP_MAU</f>
        <v>6236.42816914446</v>
      </c>
      <c r="E17" s="126" t="s">
        <v>409</v>
      </c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</row>
    <row r="18" customFormat="false" ht="14.25" hidden="false" customHeight="false" outlineLevel="0" collapsed="false">
      <c r="B18" s="127" t="s">
        <v>410</v>
      </c>
      <c r="C18" s="108"/>
      <c r="D18" s="130" t="str">
        <f aca="false">BEP_месяц</f>
        <v>Апр 2027</v>
      </c>
      <c r="E18" s="126" t="s">
        <v>411</v>
      </c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</row>
    <row r="19" customFormat="false" ht="14.25" hidden="false" customHeight="false" outlineLevel="0" collapsed="false">
      <c r="B19" s="125" t="s">
        <v>15</v>
      </c>
      <c r="C19" s="108" t="s">
        <v>74</v>
      </c>
      <c r="D19" s="131" t="n">
        <f aca="false">PP_docx</f>
        <v>10.9961710683468</v>
      </c>
      <c r="E19" s="126" t="s">
        <v>412</v>
      </c>
      <c r="F19" s="107" t="str">
        <f aca="false">PP_docx_мес</f>
        <v>Июл 2027</v>
      </c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</row>
    <row r="20" customFormat="false" ht="14.25" hidden="false" customHeight="false" outlineLevel="0" collapsed="false">
      <c r="B20" s="127" t="s">
        <v>413</v>
      </c>
      <c r="C20" s="108" t="s">
        <v>74</v>
      </c>
      <c r="D20" s="131" t="n">
        <f aca="false">PP_проект</f>
        <v>10.9961710683468</v>
      </c>
      <c r="E20" s="116"/>
      <c r="F20" s="107" t="str">
        <f aca="false">PP_проект_мес</f>
        <v>Июл 2027</v>
      </c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</row>
    <row r="21" customFormat="false" ht="14.25" hidden="false" customHeight="false" outlineLevel="0" collapsed="false">
      <c r="B21" s="127" t="s">
        <v>414</v>
      </c>
      <c r="C21" s="108" t="s">
        <v>74</v>
      </c>
      <c r="D21" s="131" t="n">
        <f aca="false">PP_дисконт</f>
        <v>11.118417942223</v>
      </c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</row>
    <row r="22" customFormat="false" ht="14.25" hidden="false" customHeight="false" outlineLevel="0" collapsed="false">
      <c r="B22" s="127" t="s">
        <v>415</v>
      </c>
      <c r="C22" s="108" t="s">
        <v>74</v>
      </c>
      <c r="D22" s="131" t="n">
        <f aca="false">PP_прибыль</f>
        <v>10.9961710683468</v>
      </c>
      <c r="E22" s="116"/>
      <c r="F22" s="107" t="str">
        <f aca="false">PP_прибыль_мес</f>
        <v>Июл 2027</v>
      </c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</row>
    <row r="23" customFormat="false" ht="14.25" hidden="false" customHeight="false" outlineLevel="0" collapsed="false">
      <c r="B23" s="127" t="s">
        <v>416</v>
      </c>
      <c r="C23" s="108" t="s">
        <v>90</v>
      </c>
      <c r="D23" s="114" t="n">
        <f aca="false">ЧДД</f>
        <v>79741.2649506605</v>
      </c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</row>
    <row r="24" customFormat="false" ht="14.25" hidden="false" customHeight="false" outlineLevel="0" collapsed="false">
      <c r="B24" s="127" t="s">
        <v>417</v>
      </c>
      <c r="C24" s="108" t="s">
        <v>418</v>
      </c>
      <c r="D24" s="128" t="n">
        <f aca="false">ВНД</f>
        <v>2.10728681116457</v>
      </c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</row>
    <row r="25" customFormat="false" ht="14.25" hidden="false" customHeight="false" outlineLevel="0" collapsed="false">
      <c r="B25" s="127" t="s">
        <v>419</v>
      </c>
      <c r="C25" s="108" t="s">
        <v>191</v>
      </c>
      <c r="D25" s="132" t="n">
        <f aca="false">ИД_доходности</f>
        <v>1.65929572678028</v>
      </c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</row>
    <row r="26" customFormat="false" ht="14.25" hidden="true" customHeight="false" outlineLevel="0" collapsed="false">
      <c r="B26" s="127" t="s">
        <v>420</v>
      </c>
      <c r="C26" s="108" t="s">
        <v>191</v>
      </c>
      <c r="D26" s="132" t="n">
        <f aca="false">Debt_EBITDA</f>
        <v>0</v>
      </c>
      <c r="E26" s="126" t="s">
        <v>421</v>
      </c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</row>
    <row r="27" customFormat="false" ht="14.25" hidden="true" customHeight="false" outlineLevel="0" collapsed="false">
      <c r="B27" s="127" t="s">
        <v>422</v>
      </c>
      <c r="C27" s="108" t="s">
        <v>191</v>
      </c>
      <c r="D27" s="132" t="str">
        <f aca="false">DSCR_период</f>
        <v>н/д</v>
      </c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</row>
    <row r="28" customFormat="false" ht="14.25" hidden="false" customHeight="false" outlineLevel="0" collapsed="false">
      <c r="B28" s="127" t="s">
        <v>423</v>
      </c>
      <c r="C28" s="108" t="s">
        <v>191</v>
      </c>
      <c r="D28" s="133" t="n">
        <f aca="false">LTV_CAC</f>
        <v>3.2</v>
      </c>
      <c r="E28" s="126" t="s">
        <v>424</v>
      </c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</row>
    <row r="31" customFormat="false" ht="16.5" hidden="false" customHeight="true" outlineLevel="0" collapsed="false">
      <c r="B31" s="6" t="s">
        <v>425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customFormat="false" ht="14.25" hidden="false" customHeight="false" outlineLevel="0" collapsed="false">
      <c r="B32" s="7" t="s">
        <v>426</v>
      </c>
    </row>
    <row r="33" customFormat="false" ht="14.25" hidden="false" customHeight="false" outlineLevel="0" collapsed="false">
      <c r="B33" s="122" t="s">
        <v>143</v>
      </c>
      <c r="C33" s="27" t="s">
        <v>141</v>
      </c>
      <c r="D33" s="22" t="n">
        <f aca="false">Серверы_опер</f>
        <v>2000</v>
      </c>
    </row>
    <row r="34" customFormat="false" ht="14.25" hidden="false" customHeight="false" outlineLevel="0" collapsed="false">
      <c r="B34" s="122" t="s">
        <v>144</v>
      </c>
      <c r="C34" s="27" t="s">
        <v>141</v>
      </c>
      <c r="D34" s="22" t="n">
        <f aca="false">Бух_опер</f>
        <v>10000</v>
      </c>
    </row>
    <row r="35" customFormat="false" ht="14.25" hidden="false" customHeight="false" outlineLevel="0" collapsed="false">
      <c r="B35" s="122" t="s">
        <v>427</v>
      </c>
      <c r="C35" s="27" t="s">
        <v>141</v>
      </c>
      <c r="D35" s="22" t="n">
        <f aca="false">Сц_маркетинг</f>
        <v>30000</v>
      </c>
    </row>
    <row r="36" customFormat="false" ht="14.25" hidden="false" customHeight="false" outlineLevel="0" collapsed="false">
      <c r="B36" s="122" t="s">
        <v>428</v>
      </c>
      <c r="C36" s="27" t="s">
        <v>141</v>
      </c>
      <c r="D36" s="22" t="n">
        <f aca="false">Зп_опер</f>
        <v>4000</v>
      </c>
    </row>
    <row r="37" customFormat="false" ht="14.25" hidden="false" customHeight="false" outlineLevel="0" collapsed="false">
      <c r="B37" s="134" t="s">
        <v>429</v>
      </c>
      <c r="C37" s="27" t="s">
        <v>141</v>
      </c>
      <c r="D37" s="51" t="n">
        <f aca="false">SUM(D33:D36)</f>
        <v>46000</v>
      </c>
      <c r="E37" s="15" t="s">
        <v>430</v>
      </c>
    </row>
    <row r="39" customFormat="false" ht="14.25" hidden="false" customHeight="false" outlineLevel="0" collapsed="false">
      <c r="B39" s="7" t="s">
        <v>431</v>
      </c>
    </row>
    <row r="40" customFormat="false" ht="14.25" hidden="false" customHeight="false" outlineLevel="0" collapsed="false">
      <c r="B40" s="122" t="s">
        <v>52</v>
      </c>
      <c r="C40" s="27" t="s">
        <v>432</v>
      </c>
      <c r="D40" s="135" t="n">
        <f aca="false">DAU_MAU*Int_доля*Int_показов*Дней_в_месяце*Int_eCPM*Сц_eCPM/1000</f>
        <v>1.8225</v>
      </c>
      <c r="E40" s="15" t="str">
        <f aca="false">"DAU/MAU "&amp;(FIXED((DAU_MAU)*100,0)&amp;"%")&amp;" × "&amp;(FIXED((Int_доля)*100,0)&amp;"%")&amp;" × "&amp;(FIXED(Int_показов,1))&amp;" показ × "&amp;(FIXED(Дней_в_месяце,0))&amp;" дн. × eCPM "&amp;(FIXED(Int_eCPM*Сц_eCPM,0))&amp;" ₽ / 1000. docx: 3,00 ₽"</f>
        <v>DAU/MAU 30% × 90% × 1.5 показ × 30 дн. × eCPM 150 ₽ / 1000. docx: 3,00 ₽</v>
      </c>
    </row>
    <row r="41" customFormat="false" ht="14.25" hidden="false" customHeight="false" outlineLevel="0" collapsed="false">
      <c r="B41" s="122" t="s">
        <v>53</v>
      </c>
      <c r="C41" s="27" t="s">
        <v>432</v>
      </c>
      <c r="D41" s="135" t="n">
        <f aca="false">DAU_MAU*Выручка!$E$22*Rew_просмотров*Дней_в_месяце*Rew_eCPM*Сц_eCPM/1000</f>
        <v>3.06</v>
      </c>
      <c r="E41" s="15" t="str">
        <f aca="false">"средняя доля смотрящих "&amp;(FIXED((Выручка!$E$22)*100,1)&amp;"%")&amp;" × "&amp;(FIXED(Rew_просмотров,1))&amp;" просм. × "&amp;(FIXED(Дней_в_месяце,0))&amp;" дн. × eCPM "&amp;(FIXED(Rew_eCPM*Сц_eCPM,0))&amp;" ₽ / 1000 (с учётом DAU/MAU). docx: 5,40 ₽"</f>
        <v>средняя доля смотрящих 85.0% × 2.0 просм. × 30 дн. × eCPM 200 ₽ / 1000 (с учётом DAU/MAU). docx: 5,40 ₽</v>
      </c>
    </row>
    <row r="42" customFormat="false" ht="14.25" hidden="false" customHeight="false" outlineLevel="0" collapsed="false">
      <c r="B42" s="122" t="s">
        <v>433</v>
      </c>
      <c r="C42" s="27" t="s">
        <v>432</v>
      </c>
      <c r="D42" s="135" t="n">
        <f aca="false">Выручка!$E$28*Выручка!$E$30*(1-Комиссия_стора)</f>
        <v>2.49351696875</v>
      </c>
      <c r="E42" s="15" t="str">
        <f aca="false">"средняя конверсия "&amp;(FIXED(Выручка!$E$28*100,3)&amp;"%")&amp;" × средний чек "&amp;(FIXED(Выручка!$E$30,0))&amp;" ₽. docx брал округлённые 0,85% × 139 ₽ = 1,18 ₽"</f>
        <v>средняя конверсия 0.834% × средний чек 352 ₽. docx брал округлённые 0,85% × 139 ₽ = 1,18 ₽</v>
      </c>
    </row>
    <row r="43" customFormat="false" ht="14.25" hidden="false" customHeight="false" outlineLevel="0" collapsed="false">
      <c r="B43" s="134" t="s">
        <v>434</v>
      </c>
      <c r="C43" s="27" t="s">
        <v>432</v>
      </c>
      <c r="D43" s="136" t="n">
        <f aca="false">D40+D41+D42</f>
        <v>7.37601696875</v>
      </c>
      <c r="E43" s="15" t="s">
        <v>435</v>
      </c>
    </row>
    <row r="45" customFormat="false" ht="14.25" hidden="false" customHeight="false" outlineLevel="0" collapsed="false">
      <c r="B45" s="7" t="s">
        <v>436</v>
      </c>
    </row>
    <row r="46" customFormat="false" ht="14.25" hidden="false" customHeight="false" outlineLevel="0" collapsed="false">
      <c r="B46" s="134" t="s">
        <v>408</v>
      </c>
      <c r="C46" s="27" t="s">
        <v>59</v>
      </c>
      <c r="D46" s="137" t="n">
        <f aca="false">IFERROR(Пост_расходы/ARPU_ср,0)</f>
        <v>6236.42816914446</v>
      </c>
      <c r="E46" s="15" t="s">
        <v>437</v>
      </c>
    </row>
    <row r="47" customFormat="false" ht="14.25" hidden="true" customHeight="false" outlineLevel="0" collapsed="false">
      <c r="B47" s="122" t="s">
        <v>438</v>
      </c>
      <c r="C47" s="27" t="s">
        <v>59</v>
      </c>
      <c r="D47" s="36" t="n">
        <f aca="false">IFERROR(Пост_расходы/ARPU_ср,0)</f>
        <v>6236.42816914446</v>
      </c>
      <c r="E47" s="15" t="s">
        <v>439</v>
      </c>
    </row>
    <row r="48" customFormat="false" ht="14.25" hidden="false" customHeight="false" outlineLevel="0" collapsed="false">
      <c r="B48" s="122" t="s">
        <v>410</v>
      </c>
      <c r="C48" s="27"/>
      <c r="D48" s="33" t="str">
        <f aca="false">IFERROR(INDEX($H$98:$S$98,1,MATCH(1,$H$114:$S$114,0)),"не достигнут")</f>
        <v>Апр 2027</v>
      </c>
      <c r="E48" s="15" t="s">
        <v>440</v>
      </c>
    </row>
    <row r="49" customFormat="false" ht="14.25" hidden="false" customHeight="false" outlineLevel="0" collapsed="false">
      <c r="B49" s="122" t="s">
        <v>441</v>
      </c>
      <c r="C49" s="27" t="s">
        <v>87</v>
      </c>
      <c r="D49" s="36" t="n">
        <f aca="false">IFERROR(INDEX($H$105:$S$105,1,MATCH(1,$H$114:$S$114,0)),0)</f>
        <v>7000</v>
      </c>
      <c r="E49" s="15" t="s">
        <v>442</v>
      </c>
    </row>
    <row r="51" customFormat="false" ht="14.25" hidden="false" customHeight="false" outlineLevel="0" collapsed="false">
      <c r="B51" s="7" t="s">
        <v>443</v>
      </c>
    </row>
    <row r="52" customFormat="false" ht="14.25" hidden="false" customHeight="false" outlineLevel="0" collapsed="false">
      <c r="B52" s="122" t="s">
        <v>295</v>
      </c>
      <c r="C52" s="27" t="s">
        <v>90</v>
      </c>
      <c r="D52" s="36" t="n">
        <f aca="false">IFERROR(INDEX($H$106:$S$106,1,MATCH(1,$H$114:$S$114,0)),0)</f>
        <v>53531.1</v>
      </c>
      <c r="E52" s="15" t="s">
        <v>444</v>
      </c>
    </row>
    <row r="53" customFormat="false" ht="14.25" hidden="false" customHeight="false" outlineLevel="0" collapsed="false">
      <c r="B53" s="122" t="s">
        <v>285</v>
      </c>
      <c r="C53" s="27" t="s">
        <v>90</v>
      </c>
      <c r="D53" s="36" t="n">
        <f aca="false">IFERROR(INDEX($H$108:$S$108,1,MATCH(1,$H$114:$S$114,0)),0)</f>
        <v>50252.5</v>
      </c>
      <c r="E53" s="15" t="s">
        <v>445</v>
      </c>
    </row>
    <row r="54" customFormat="false" ht="14.25" hidden="true" customHeight="false" outlineLevel="0" collapsed="false">
      <c r="B54" s="122" t="s">
        <v>380</v>
      </c>
      <c r="C54" s="27" t="s">
        <v>90</v>
      </c>
      <c r="D54" s="36" t="n">
        <f aca="false">0</f>
        <v>0</v>
      </c>
      <c r="E54" s="15" t="s">
        <v>446</v>
      </c>
    </row>
    <row r="55" customFormat="false" ht="14.25" hidden="false" customHeight="false" outlineLevel="0" collapsed="false">
      <c r="B55" s="134" t="s">
        <v>447</v>
      </c>
      <c r="C55" s="27" t="s">
        <v>90</v>
      </c>
      <c r="D55" s="36" t="n">
        <f aca="false">IFERROR(INDEX($H$109:$S$109,1,MATCH(1,$H$114:$S$114,0)),0)-D54</f>
        <v>375.560000000005</v>
      </c>
      <c r="E55" s="15" t="s">
        <v>448</v>
      </c>
    </row>
    <row r="57" customFormat="false" ht="16.5" hidden="false" customHeight="true" outlineLevel="0" collapsed="false">
      <c r="B57" s="6" t="s">
        <v>449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 customFormat="false" ht="14.25" hidden="false" customHeight="false" outlineLevel="0" collapsed="false">
      <c r="B58" s="122" t="s">
        <v>450</v>
      </c>
      <c r="C58" s="27" t="s">
        <v>90</v>
      </c>
      <c r="D58" s="36" t="n">
        <f aca="false">Финансирование</f>
        <v>200000</v>
      </c>
      <c r="E58" s="15" t="s">
        <v>451</v>
      </c>
    </row>
    <row r="59" customFormat="false" ht="14.25" hidden="false" customHeight="false" outlineLevel="0" collapsed="false">
      <c r="B59" s="134" t="s">
        <v>452</v>
      </c>
      <c r="C59" s="27" t="s">
        <v>74</v>
      </c>
      <c r="D59" s="138" t="n">
        <f aca="false">IF(COUNT($H$120:$S$120)=0,"за горизонтом",MIN($H$120:$S$120))</f>
        <v>10.9961710683468</v>
      </c>
      <c r="E59" s="7" t="str">
        <f aca="false">IF(ISNUMBER(D59),INDEX($H$98:$S$98,1,MAX(1,ROUNDUP(D59,0))),"за горизонтом")</f>
        <v>Июл 2027</v>
      </c>
      <c r="F59" s="15" t="s">
        <v>453</v>
      </c>
    </row>
    <row r="60" customFormat="false" ht="14.25" hidden="true" customHeight="false" outlineLevel="0" collapsed="false">
      <c r="B60" s="122" t="s">
        <v>454</v>
      </c>
      <c r="C60" s="27" t="s">
        <v>90</v>
      </c>
      <c r="D60" s="36" t="n">
        <f aca="false">0</f>
        <v>0</v>
      </c>
      <c r="E60" s="15" t="s">
        <v>455</v>
      </c>
    </row>
    <row r="61" customFormat="false" ht="14.25" hidden="false" customHeight="false" outlineLevel="0" collapsed="false">
      <c r="B61" s="122" t="s">
        <v>413</v>
      </c>
      <c r="C61" s="27" t="s">
        <v>74</v>
      </c>
      <c r="D61" s="139" t="n">
        <f aca="false">IF(COUNT($H$123:$S$123)=0,"за горизонтом",MIN($H$123:$S$123))</f>
        <v>10.9961710683468</v>
      </c>
      <c r="E61" s="8" t="str">
        <f aca="false">IF(ISNUMBER(D61),INDEX($H$98:$S$98,1,MAX(1,ROUNDUP(D61,0))),"за горизонтом")</f>
        <v>Июл 2027</v>
      </c>
      <c r="F61" s="15" t="s">
        <v>456</v>
      </c>
    </row>
    <row r="62" customFormat="false" ht="14.25" hidden="false" customHeight="false" outlineLevel="0" collapsed="false">
      <c r="B62" s="122" t="s">
        <v>457</v>
      </c>
      <c r="C62" s="27" t="s">
        <v>74</v>
      </c>
      <c r="D62" s="139" t="n">
        <f aca="false">IF(COUNT($H$127:$S$127)=0,"за горизонтом",MIN($H$127:$S$127))</f>
        <v>11.118417942223</v>
      </c>
      <c r="E62" s="8" t="str">
        <f aca="false">IF(ISNUMBER(D62),INDEX($H$98:$S$98,1,MAX(1,ROUNDUP(D62,0))),"за горизонтом")</f>
        <v>Авг 2027</v>
      </c>
      <c r="F62" s="15" t="str">
        <f aca="false">"ставка дисконтирования "&amp;(FIXED((Ставка_дисконта)*100,0)&amp;"%")&amp;" годовых"</f>
        <v>ставка дисконтирования 22% годовых</v>
      </c>
    </row>
    <row r="63" customFormat="false" ht="14.25" hidden="false" customHeight="false" outlineLevel="0" collapsed="false">
      <c r="B63" s="122" t="s">
        <v>458</v>
      </c>
      <c r="C63" s="27" t="s">
        <v>74</v>
      </c>
      <c r="D63" s="139" t="n">
        <f aca="false">IF(COUNT($H$130:$S$130)=0,"за горизонтом",MIN($H$130:$S$130))</f>
        <v>10.9961710683468</v>
      </c>
      <c r="E63" s="8" t="str">
        <f aca="false">IF(ISNUMBER(D63),INDEX($H$98:$S$98,1,MAX(1,ROUNDUP(D63,0))),"за горизонтом")</f>
        <v>Июл 2027</v>
      </c>
      <c r="F63" s="15" t="s">
        <v>459</v>
      </c>
    </row>
    <row r="64" customFormat="false" ht="14.25" hidden="false" customHeight="false" outlineLevel="0" collapsed="false">
      <c r="B64" s="134" t="str">
        <f aca="false">"ЧДД (NPV) проекта за 12 мес. при ставке "&amp;FIXED(Ставка_дисконта*100,0)&amp;"% годовых"</f>
        <v>ЧДД (NPV) проекта за 12 мес. при ставке 22% годовых</v>
      </c>
      <c r="C64" s="27" t="s">
        <v>90</v>
      </c>
      <c r="D64" s="36" t="n">
        <f aca="false">SUM($H$125:$S$125)</f>
        <v>79741.2649506605</v>
      </c>
      <c r="E64" s="15" t="s">
        <v>460</v>
      </c>
    </row>
    <row r="65" customFormat="false" ht="14.25" hidden="false" customHeight="false" outlineLevel="0" collapsed="false">
      <c r="B65" s="122" t="s">
        <v>461</v>
      </c>
      <c r="C65" s="27" t="s">
        <v>418</v>
      </c>
      <c r="D65" s="140" t="n">
        <f aca="false">IFERROR((1+IRR($H$121:$S$121))^12-1,"н/д")</f>
        <v>2.10728681116457</v>
      </c>
      <c r="E65" s="15" t="s">
        <v>462</v>
      </c>
    </row>
    <row r="66" customFormat="false" ht="14.25" hidden="false" customHeight="false" outlineLevel="0" collapsed="false">
      <c r="B66" s="122" t="s">
        <v>419</v>
      </c>
      <c r="C66" s="27" t="s">
        <v>191</v>
      </c>
      <c r="D66" s="141" t="n">
        <f aca="false">IFERROR(SUMIF($H$125:$S$125,"&gt;0")/-SUMIF($H$125:$S$125,"&lt;0"),"н/д")</f>
        <v>1.65929572678028</v>
      </c>
      <c r="E66" s="15" t="s">
        <v>463</v>
      </c>
    </row>
    <row r="68" customFormat="false" ht="16.5" hidden="false" customHeight="true" outlineLevel="0" collapsed="false">
      <c r="B68" s="6" t="s">
        <v>464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 customFormat="false" ht="14.25" hidden="false" customHeight="false" outlineLevel="0" collapsed="false">
      <c r="B69" s="122" t="s">
        <v>465</v>
      </c>
      <c r="C69" s="27" t="s">
        <v>90</v>
      </c>
      <c r="D69" s="135" t="n">
        <f aca="false">Выручка!$F$38</f>
        <v>8.33355306122449</v>
      </c>
      <c r="E69" s="15" t="s">
        <v>466</v>
      </c>
    </row>
    <row r="70" customFormat="false" ht="14.25" hidden="false" customHeight="false" outlineLevel="0" collapsed="false">
      <c r="B70" s="122" t="s">
        <v>467</v>
      </c>
      <c r="C70" s="27" t="s">
        <v>90</v>
      </c>
      <c r="D70" s="135" t="n">
        <f aca="false">IFERROR(Выручка!$F$31/Выручка!$F$29,0)</f>
        <v>373.792771084337</v>
      </c>
    </row>
    <row r="71" customFormat="false" ht="14.25" hidden="false" customHeight="false" outlineLevel="0" collapsed="false">
      <c r="B71" s="122" t="s">
        <v>468</v>
      </c>
      <c r="C71" s="27" t="s">
        <v>90</v>
      </c>
      <c r="D71" s="36" t="n">
        <f aca="false">Юнит_CAC</f>
        <v>25</v>
      </c>
      <c r="E71" s="15" t="s">
        <v>469</v>
      </c>
    </row>
    <row r="72" customFormat="false" ht="14.25" hidden="false" customHeight="false" outlineLevel="0" collapsed="false">
      <c r="B72" s="122" t="s">
        <v>470</v>
      </c>
      <c r="C72" s="27" t="s">
        <v>90</v>
      </c>
      <c r="D72" s="36" t="n">
        <f aca="false">Юнит_LTV</f>
        <v>80</v>
      </c>
      <c r="E72" s="15" t="s">
        <v>471</v>
      </c>
    </row>
    <row r="73" customFormat="false" ht="14.25" hidden="false" customHeight="false" outlineLevel="0" collapsed="false">
      <c r="B73" s="134" t="s">
        <v>423</v>
      </c>
      <c r="C73" s="27" t="s">
        <v>191</v>
      </c>
      <c r="D73" s="142" t="n">
        <f aca="false">IFERROR(Юнит_LTV/Юнит_CAC,0)</f>
        <v>3.2</v>
      </c>
      <c r="E73" s="15" t="s">
        <v>424</v>
      </c>
    </row>
    <row r="74" customFormat="false" ht="14.25" hidden="false" customHeight="false" outlineLevel="0" collapsed="false">
      <c r="B74" s="122" t="s">
        <v>472</v>
      </c>
      <c r="C74" s="27" t="s">
        <v>74</v>
      </c>
      <c r="D74" s="139" t="n">
        <f aca="false">IFERROR(Юнит_LTV/D69,0)</f>
        <v>9.59974688014349</v>
      </c>
      <c r="E74" s="15" t="s">
        <v>473</v>
      </c>
    </row>
    <row r="75" customFormat="false" ht="14.25" hidden="false" customHeight="false" outlineLevel="0" collapsed="false">
      <c r="B75" s="122" t="s">
        <v>474</v>
      </c>
      <c r="C75" s="27" t="s">
        <v>114</v>
      </c>
      <c r="D75" s="36" t="n">
        <f aca="false">IFERROR(Сц_маркетинг/Юнит_CAC,0)</f>
        <v>1200</v>
      </c>
      <c r="E75" s="15" t="s">
        <v>475</v>
      </c>
    </row>
    <row r="76" customFormat="false" ht="14.25" hidden="true" customHeight="false" outlineLevel="0" collapsed="false">
      <c r="B76" s="122" t="s">
        <v>476</v>
      </c>
      <c r="C76" s="27" t="s">
        <v>191</v>
      </c>
      <c r="D76" s="141" t="n">
        <f aca="false">0</f>
        <v>0</v>
      </c>
      <c r="E76" s="15" t="s">
        <v>477</v>
      </c>
    </row>
    <row r="77" customFormat="false" ht="14.25" hidden="true" customHeight="false" outlineLevel="0" collapsed="false">
      <c r="B77" s="122" t="s">
        <v>478</v>
      </c>
      <c r="C77" s="27" t="s">
        <v>191</v>
      </c>
      <c r="D77" s="141" t="str">
        <f aca="false">"н/д"</f>
        <v>н/д</v>
      </c>
      <c r="E77" s="15" t="s">
        <v>479</v>
      </c>
    </row>
    <row r="78" customFormat="false" ht="14.25" hidden="true" customHeight="false" outlineLevel="0" collapsed="false">
      <c r="B78" s="122" t="s">
        <v>480</v>
      </c>
      <c r="C78" s="27" t="s">
        <v>191</v>
      </c>
      <c r="D78" s="143" t="str">
        <f aca="false">IF(COUNT($H$134:$S$134)=0,"н/д",MIN($H$134:$S$134))</f>
        <v>н/д</v>
      </c>
      <c r="E78" s="8" t="str">
        <f aca="false">IF(COUNT($H$134:$S$134)=0,"",INDEX($H$98:$S$98,1,MATCH(D78,$H$134:$S$134,0)))</f>
        <v/>
      </c>
      <c r="F78" s="15" t="s">
        <v>481</v>
      </c>
    </row>
    <row r="80" customFormat="false" ht="14.25" hidden="false" customHeight="false" outlineLevel="0" collapsed="false">
      <c r="B80" s="7" t="s">
        <v>482</v>
      </c>
    </row>
    <row r="81" customFormat="false" ht="27.75" hidden="false" customHeight="true" outlineLevel="0" collapsed="false">
      <c r="B81" s="62" t="s">
        <v>483</v>
      </c>
      <c r="C81" s="55"/>
      <c r="D81" s="55" t="s">
        <v>484</v>
      </c>
      <c r="E81" s="55" t="s">
        <v>485</v>
      </c>
    </row>
    <row r="82" customFormat="false" ht="14.25" hidden="false" customHeight="false" outlineLevel="0" collapsed="false">
      <c r="B82" s="8" t="str">
        <f aca="false">"Банковский депозит ("&amp;FIXED(Ставка_депозита*100,0)&amp;"% годовых)"</f>
        <v>Банковский депозит (14% годовых)</v>
      </c>
      <c r="D82" s="66" t="n">
        <f aca="false">Собств_капитал*Ставка_депозита</f>
        <v>28000</v>
      </c>
      <c r="E82" s="144" t="n">
        <f aca="false">IFERROR(ОПиУ!$F$31/D82,"")</f>
        <v>3.951255</v>
      </c>
    </row>
    <row r="83" customFormat="false" ht="14.25" hidden="false" customHeight="false" outlineLevel="0" collapsed="false">
      <c r="B83" s="8" t="str">
        <f aca="false">"Индекс Мосбиржи (~"&amp;FIXED(Доходность_индекса*100,0)&amp;"% годовых)"</f>
        <v>Индекс Мосбиржи (~15% годовых)</v>
      </c>
      <c r="D83" s="66" t="n">
        <f aca="false">Собств_капитал*Доходность_индекса</f>
        <v>30000</v>
      </c>
      <c r="E83" s="144" t="n">
        <f aca="false">IFERROR(ОПиУ!$F$31/D83,"")</f>
        <v>3.687838</v>
      </c>
    </row>
    <row r="84" customFormat="false" ht="14.25" hidden="false" customHeight="false" outlineLevel="0" collapsed="false">
      <c r="B84" s="7" t="str">
        <f aca="false">"Проект "&amp;Проект&amp;" (чистая прибыль, сценарий «"&amp;Сценарий&amp;"»)"</f>
        <v>Проект «Наследие» (чистая прибыль, сценарий «Базовый»)</v>
      </c>
      <c r="D84" s="67" t="n">
        <f aca="false">ОПиУ!$F$31</f>
        <v>110635.14</v>
      </c>
    </row>
    <row r="85" customFormat="false" ht="14.25" hidden="false" customHeight="false" outlineLevel="0" collapsed="false">
      <c r="B85" s="15" t="s">
        <v>486</v>
      </c>
    </row>
    <row r="87" customFormat="false" ht="14.25" hidden="false" customHeight="false" outlineLevel="0" collapsed="false">
      <c r="B87" s="7" t="s">
        <v>487</v>
      </c>
    </row>
    <row r="88" customFormat="false" ht="14.25" hidden="false" customHeight="false" outlineLevel="0" collapsed="false">
      <c r="B88" s="122" t="s">
        <v>488</v>
      </c>
      <c r="C88" s="27" t="s">
        <v>90</v>
      </c>
      <c r="D88" s="36" t="n">
        <f aca="false">Выручка!$F$34</f>
        <v>364317.75</v>
      </c>
      <c r="E88" s="73" t="n">
        <f aca="false">IFERROR(D88/Выручка!$F$36,0)</f>
        <v>0.594788806793094</v>
      </c>
      <c r="F88" s="15" t="s">
        <v>489</v>
      </c>
    </row>
    <row r="89" customFormat="false" ht="14.25" hidden="false" customHeight="false" outlineLevel="0" collapsed="false">
      <c r="B89" s="122" t="s">
        <v>490</v>
      </c>
      <c r="C89" s="27" t="s">
        <v>90</v>
      </c>
      <c r="D89" s="36" t="n">
        <f aca="false">Выручка!$F$35</f>
        <v>248198.4</v>
      </c>
      <c r="E89" s="73" t="n">
        <f aca="false">IFERROR(D89/Выручка!$F$36,0)</f>
        <v>0.405211193206906</v>
      </c>
      <c r="F89" s="15" t="s">
        <v>491</v>
      </c>
    </row>
    <row r="96" customFormat="false" ht="14.25" hidden="false" customHeight="false" outlineLevel="0" collapsed="false">
      <c r="B96" s="6" t="s">
        <v>492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8" customFormat="false" ht="30" hidden="false" customHeight="true" outlineLevel="0" collapsed="false">
      <c r="B98" s="62" t="s">
        <v>51</v>
      </c>
      <c r="C98" s="20" t="s">
        <v>128</v>
      </c>
      <c r="D98" s="55" t="str">
        <f aca="false">"Разработка"&amp;CHAR(10)&amp;"("&amp;Дев_мес&amp;" мес.)"</f>
        <v>Разработка
(4 мес.)</v>
      </c>
      <c r="E98" s="55" t="str">
        <f aca="false">"Операционка"&amp;CHAR(10)&amp;"("&amp;Опер_мес&amp;" мес.)"</f>
        <v>Операционка
(8 мес.)</v>
      </c>
      <c r="F98" s="55" t="str">
        <f aca="false">"Итого"&amp;CHAR(10)&amp;"12 мес."</f>
        <v>Итого
12 мес.</v>
      </c>
      <c r="G98" s="19"/>
      <c r="H98" s="20" t="str">
        <f aca="false">Выручка!H$5</f>
        <v>Сен 2026</v>
      </c>
      <c r="I98" s="20" t="str">
        <f aca="false">Выручка!I$5</f>
        <v>Окт 2026</v>
      </c>
      <c r="J98" s="20" t="str">
        <f aca="false">Выручка!J$5</f>
        <v>Ноя 2026</v>
      </c>
      <c r="K98" s="20" t="str">
        <f aca="false">Выручка!K$5</f>
        <v>Дек 2026</v>
      </c>
      <c r="L98" s="20" t="str">
        <f aca="false">Выручка!L$5</f>
        <v>Янв 2027</v>
      </c>
      <c r="M98" s="20" t="str">
        <f aca="false">Выручка!M$5</f>
        <v>Фев 2027</v>
      </c>
      <c r="N98" s="20" t="str">
        <f aca="false">Выручка!N$5</f>
        <v>Мар 2027</v>
      </c>
      <c r="O98" s="20" t="str">
        <f aca="false">Выручка!O$5</f>
        <v>Апр 2027</v>
      </c>
      <c r="P98" s="20" t="str">
        <f aca="false">Выручка!P$5</f>
        <v>Май 2027</v>
      </c>
      <c r="Q98" s="20" t="str">
        <f aca="false">Выручка!Q$5</f>
        <v>Июн 2027</v>
      </c>
      <c r="R98" s="20" t="str">
        <f aca="false">Выручка!R$5</f>
        <v>Июл 2027</v>
      </c>
      <c r="S98" s="20" t="str">
        <f aca="false">Выручка!S$5</f>
        <v>Авг 2027</v>
      </c>
    </row>
    <row r="99" customFormat="false" ht="14.25" hidden="false" customHeight="false" outlineLevel="0" collapsed="false">
      <c r="B99" s="44" t="s">
        <v>199</v>
      </c>
      <c r="H99" s="63" t="n">
        <f aca="false">Выручка!H$6</f>
        <v>1</v>
      </c>
      <c r="I99" s="63" t="n">
        <f aca="false">Выручка!I$6</f>
        <v>2</v>
      </c>
      <c r="J99" s="63" t="n">
        <f aca="false">Выручка!J$6</f>
        <v>3</v>
      </c>
      <c r="K99" s="63" t="n">
        <f aca="false">Выручка!K$6</f>
        <v>4</v>
      </c>
      <c r="L99" s="63" t="n">
        <f aca="false">Выручка!L$6</f>
        <v>5</v>
      </c>
      <c r="M99" s="63" t="n">
        <f aca="false">Выручка!M$6</f>
        <v>6</v>
      </c>
      <c r="N99" s="63" t="n">
        <f aca="false">Выручка!N$6</f>
        <v>7</v>
      </c>
      <c r="O99" s="63" t="n">
        <f aca="false">Выручка!O$6</f>
        <v>8</v>
      </c>
      <c r="P99" s="63" t="n">
        <f aca="false">Выручка!P$6</f>
        <v>9</v>
      </c>
      <c r="Q99" s="63" t="n">
        <f aca="false">Выручка!Q$6</f>
        <v>10</v>
      </c>
      <c r="R99" s="63" t="n">
        <f aca="false">Выручка!R$6</f>
        <v>11</v>
      </c>
      <c r="S99" s="63" t="n">
        <f aca="false">Выручка!S$6</f>
        <v>12</v>
      </c>
    </row>
    <row r="100" customFormat="false" ht="14.25" hidden="false" customHeight="false" outlineLevel="0" collapsed="false">
      <c r="B100" s="44" t="s">
        <v>200</v>
      </c>
      <c r="H100" s="64" t="n">
        <f aca="false">Выручка!H$7</f>
        <v>46266</v>
      </c>
      <c r="I100" s="64" t="n">
        <f aca="false">Выручка!I$7</f>
        <v>46296</v>
      </c>
      <c r="J100" s="64" t="n">
        <f aca="false">Выручка!J$7</f>
        <v>46327</v>
      </c>
      <c r="K100" s="64" t="n">
        <f aca="false">Выручка!K$7</f>
        <v>46357</v>
      </c>
      <c r="L100" s="64" t="n">
        <f aca="false">Выручка!L$7</f>
        <v>46388</v>
      </c>
      <c r="M100" s="64" t="n">
        <f aca="false">Выручка!M$7</f>
        <v>46419</v>
      </c>
      <c r="N100" s="64" t="n">
        <f aca="false">Выручка!N$7</f>
        <v>46447</v>
      </c>
      <c r="O100" s="64" t="n">
        <f aca="false">Выручка!O$7</f>
        <v>46478</v>
      </c>
      <c r="P100" s="64" t="n">
        <f aca="false">Выручка!P$7</f>
        <v>46508</v>
      </c>
      <c r="Q100" s="64" t="n">
        <f aca="false">Выручка!Q$7</f>
        <v>46539</v>
      </c>
      <c r="R100" s="64" t="n">
        <f aca="false">Выручка!R$7</f>
        <v>46569</v>
      </c>
      <c r="S100" s="64" t="n">
        <f aca="false">Выручка!S$7</f>
        <v>46600</v>
      </c>
    </row>
    <row r="101" customFormat="false" ht="14.25" hidden="false" customHeight="false" outlineLevel="0" collapsed="false">
      <c r="B101" s="44" t="s">
        <v>201</v>
      </c>
      <c r="H101" s="45" t="str">
        <f aca="false">Выручка!H$8</f>
        <v>Разработка</v>
      </c>
      <c r="I101" s="45" t="str">
        <f aca="false">Выручка!I$8</f>
        <v>Разработка</v>
      </c>
      <c r="J101" s="45" t="str">
        <f aca="false">Выручка!J$8</f>
        <v>Разработка</v>
      </c>
      <c r="K101" s="45" t="str">
        <f aca="false">Выручка!K$8</f>
        <v>Разработка</v>
      </c>
      <c r="L101" s="45" t="str">
        <f aca="false">Выручка!L$8</f>
        <v>Операционка</v>
      </c>
      <c r="M101" s="45" t="str">
        <f aca="false">Выручка!M$8</f>
        <v>Операционка</v>
      </c>
      <c r="N101" s="45" t="str">
        <f aca="false">Выручка!N$8</f>
        <v>Операционка</v>
      </c>
      <c r="O101" s="45" t="str">
        <f aca="false">Выручка!O$8</f>
        <v>Операционка</v>
      </c>
      <c r="P101" s="45" t="str">
        <f aca="false">Выручка!P$8</f>
        <v>Операционка</v>
      </c>
      <c r="Q101" s="45" t="str">
        <f aca="false">Выручка!Q$8</f>
        <v>Операционка</v>
      </c>
      <c r="R101" s="45" t="str">
        <f aca="false">Выручка!R$8</f>
        <v>Операционка</v>
      </c>
      <c r="S101" s="45" t="str">
        <f aca="false">Выручка!S$8</f>
        <v>Операционка</v>
      </c>
    </row>
    <row r="102" customFormat="false" ht="14.25" hidden="false" customHeight="false" outlineLevel="0" collapsed="false">
      <c r="B102" s="44" t="s">
        <v>202</v>
      </c>
      <c r="H102" s="63" t="n">
        <f aca="false">Выручка!H$9</f>
        <v>0</v>
      </c>
      <c r="I102" s="63" t="n">
        <f aca="false">Выручка!I$9</f>
        <v>0</v>
      </c>
      <c r="J102" s="63" t="n">
        <f aca="false">Выручка!J$9</f>
        <v>0</v>
      </c>
      <c r="K102" s="63" t="n">
        <f aca="false">Выручка!K$9</f>
        <v>0</v>
      </c>
      <c r="L102" s="63" t="n">
        <f aca="false">Выручка!L$9</f>
        <v>1</v>
      </c>
      <c r="M102" s="63" t="n">
        <f aca="false">Выручка!M$9</f>
        <v>2</v>
      </c>
      <c r="N102" s="63" t="n">
        <f aca="false">Выручка!N$9</f>
        <v>3</v>
      </c>
      <c r="O102" s="63" t="n">
        <f aca="false">Выручка!O$9</f>
        <v>4</v>
      </c>
      <c r="P102" s="63" t="n">
        <f aca="false">Выручка!P$9</f>
        <v>5</v>
      </c>
      <c r="Q102" s="63" t="n">
        <f aca="false">Выручка!Q$9</f>
        <v>6</v>
      </c>
      <c r="R102" s="63" t="n">
        <f aca="false">Выручка!R$9</f>
        <v>7</v>
      </c>
      <c r="S102" s="63" t="n">
        <f aca="false">Выручка!S$9</f>
        <v>8</v>
      </c>
    </row>
    <row r="104" customFormat="false" ht="16.5" hidden="false" customHeight="true" outlineLevel="0" collapsed="false">
      <c r="B104" s="6" t="s">
        <v>493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customFormat="false" ht="14.25" hidden="false" customHeight="false" outlineLevel="0" collapsed="false">
      <c r="B105" s="65" t="s">
        <v>59</v>
      </c>
      <c r="C105" s="27" t="s">
        <v>87</v>
      </c>
      <c r="D105" s="66" t="n">
        <f aca="false">INDEX($H$105:$S$105,1,Дев_мес)</f>
        <v>0</v>
      </c>
      <c r="E105" s="66" t="n">
        <f aca="false">IF(Опер_мес&gt;0,S105,"")</f>
        <v>20000</v>
      </c>
      <c r="F105" s="67" t="n">
        <f aca="false">S105</f>
        <v>20000</v>
      </c>
      <c r="H105" s="98" t="n">
        <f aca="false">Выручка!H13</f>
        <v>0</v>
      </c>
      <c r="I105" s="98" t="n">
        <f aca="false">Выручка!I13</f>
        <v>0</v>
      </c>
      <c r="J105" s="98" t="n">
        <f aca="false">Выручка!J13</f>
        <v>0</v>
      </c>
      <c r="K105" s="98" t="n">
        <f aca="false">Выручка!K13</f>
        <v>0</v>
      </c>
      <c r="L105" s="98" t="n">
        <f aca="false">Выручка!L13</f>
        <v>1500</v>
      </c>
      <c r="M105" s="98" t="n">
        <f aca="false">Выручка!M13</f>
        <v>3000</v>
      </c>
      <c r="N105" s="98" t="n">
        <f aca="false">Выручка!N13</f>
        <v>5000</v>
      </c>
      <c r="O105" s="98" t="n">
        <f aca="false">Выручка!O13</f>
        <v>7000</v>
      </c>
      <c r="P105" s="98" t="n">
        <f aca="false">Выручка!P13</f>
        <v>9000</v>
      </c>
      <c r="Q105" s="98" t="n">
        <f aca="false">Выручка!Q13</f>
        <v>12000</v>
      </c>
      <c r="R105" s="98" t="n">
        <f aca="false">Выручка!R13</f>
        <v>16000</v>
      </c>
      <c r="S105" s="98" t="n">
        <f aca="false">Выручка!S13</f>
        <v>20000</v>
      </c>
    </row>
    <row r="106" customFormat="false" ht="14.25" hidden="false" customHeight="false" outlineLevel="0" collapsed="false">
      <c r="B106" s="65" t="s">
        <v>295</v>
      </c>
      <c r="C106" s="27" t="s">
        <v>90</v>
      </c>
      <c r="D106" s="66" t="n">
        <f aca="false">SUMIF($H$101:$S$101,"Разработка",$H$106:$S$106)</f>
        <v>0</v>
      </c>
      <c r="E106" s="66" t="n">
        <f aca="false">SUMIF($H$101:$S$101,"Операционка",$H$106:$S$106)</f>
        <v>612516.15</v>
      </c>
      <c r="F106" s="67" t="n">
        <f aca="false">SUM($H$106:$S$106)</f>
        <v>612516.15</v>
      </c>
      <c r="H106" s="98" t="n">
        <f aca="false">Выручка!H36</f>
        <v>0</v>
      </c>
      <c r="I106" s="98" t="n">
        <f aca="false">Выручка!I36</f>
        <v>0</v>
      </c>
      <c r="J106" s="98" t="n">
        <f aca="false">Выручка!J36</f>
        <v>0</v>
      </c>
      <c r="K106" s="98" t="n">
        <f aca="false">Выручка!K36</f>
        <v>0</v>
      </c>
      <c r="L106" s="98" t="n">
        <f aca="false">Выручка!L36</f>
        <v>10305.35</v>
      </c>
      <c r="M106" s="98" t="n">
        <f aca="false">Выручка!M36</f>
        <v>21378.7</v>
      </c>
      <c r="N106" s="98" t="n">
        <f aca="false">Выручка!N36</f>
        <v>36805.3</v>
      </c>
      <c r="O106" s="98" t="n">
        <f aca="false">Выручка!O36</f>
        <v>53531.1</v>
      </c>
      <c r="P106" s="98" t="n">
        <f aca="false">Выручка!P36</f>
        <v>71647.7</v>
      </c>
      <c r="Q106" s="98" t="n">
        <f aca="false">Выручка!Q36</f>
        <v>100018.8</v>
      </c>
      <c r="R106" s="98" t="n">
        <f aca="false">Выручка!R36</f>
        <v>138459.2</v>
      </c>
      <c r="S106" s="98" t="n">
        <f aca="false">Выручка!S36</f>
        <v>180370</v>
      </c>
    </row>
    <row r="107" customFormat="false" ht="14.25" hidden="false" customHeight="false" outlineLevel="0" collapsed="false">
      <c r="B107" s="65" t="s">
        <v>379</v>
      </c>
      <c r="C107" s="27" t="s">
        <v>90</v>
      </c>
      <c r="D107" s="66" t="n">
        <f aca="false">SUMIF($H$101:$S$101,"Разработка",$H$107:$S$107)</f>
        <v>0</v>
      </c>
      <c r="E107" s="66" t="n">
        <f aca="false">SUMIF($H$101:$S$101,"Операционка",$H$107:$S$107)</f>
        <v>37229.76</v>
      </c>
      <c r="F107" s="67" t="n">
        <f aca="false">SUM($H$107:$S$107)</f>
        <v>37229.76</v>
      </c>
      <c r="H107" s="98" t="n">
        <f aca="false">Расходы!H19</f>
        <v>0</v>
      </c>
      <c r="I107" s="98" t="n">
        <f aca="false">Расходы!I19</f>
        <v>0</v>
      </c>
      <c r="J107" s="98" t="n">
        <f aca="false">Расходы!J19</f>
        <v>0</v>
      </c>
      <c r="K107" s="98" t="n">
        <f aca="false">Расходы!K19</f>
        <v>0</v>
      </c>
      <c r="L107" s="98" t="n">
        <f aca="false">Расходы!L19</f>
        <v>487.74</v>
      </c>
      <c r="M107" s="98" t="n">
        <f aca="false">Расходы!M19</f>
        <v>1074.48</v>
      </c>
      <c r="N107" s="98" t="n">
        <f aca="false">Расходы!N19</f>
        <v>1912.92</v>
      </c>
      <c r="O107" s="98" t="n">
        <f aca="false">Расходы!O19</f>
        <v>2903.04</v>
      </c>
      <c r="P107" s="98" t="n">
        <f aca="false">Расходы!P19</f>
        <v>4107.18</v>
      </c>
      <c r="Q107" s="98" t="n">
        <f aca="false">Расходы!Q19</f>
        <v>6084.72</v>
      </c>
      <c r="R107" s="98" t="n">
        <f aca="false">Расходы!R19</f>
        <v>8791.68</v>
      </c>
      <c r="S107" s="98" t="n">
        <f aca="false">Расходы!S19</f>
        <v>11868</v>
      </c>
    </row>
    <row r="108" customFormat="false" ht="14.25" hidden="false" customHeight="false" outlineLevel="0" collapsed="false">
      <c r="B108" s="65" t="s">
        <v>283</v>
      </c>
      <c r="C108" s="27" t="s">
        <v>90</v>
      </c>
      <c r="D108" s="66" t="n">
        <f aca="false">SUMIF($H$101:$S$101,"Разработка",$H$108:$S$108)</f>
        <v>52000</v>
      </c>
      <c r="E108" s="66" t="n">
        <f aca="false">SUMIF($H$101:$S$101,"Операционка",$H$108:$S$108)</f>
        <v>412651.25</v>
      </c>
      <c r="F108" s="67" t="n">
        <f aca="false">SUM($H$108:$S$108)</f>
        <v>464651.25</v>
      </c>
      <c r="H108" s="98" t="n">
        <f aca="false">Расходы!H16</f>
        <v>4000</v>
      </c>
      <c r="I108" s="98" t="n">
        <f aca="false">Расходы!I16</f>
        <v>6000</v>
      </c>
      <c r="J108" s="98" t="n">
        <f aca="false">Расходы!J16</f>
        <v>16000</v>
      </c>
      <c r="K108" s="98" t="n">
        <f aca="false">Расходы!K16</f>
        <v>26000</v>
      </c>
      <c r="L108" s="98" t="n">
        <f aca="false">Расходы!L16</f>
        <v>46911.25</v>
      </c>
      <c r="M108" s="98" t="n">
        <f aca="false">Расходы!M16</f>
        <v>47822.5</v>
      </c>
      <c r="N108" s="98" t="n">
        <f aca="false">Расходы!N16</f>
        <v>49037.5</v>
      </c>
      <c r="O108" s="98" t="n">
        <f aca="false">Расходы!O16</f>
        <v>50252.5</v>
      </c>
      <c r="P108" s="98" t="n">
        <f aca="false">Расходы!P16</f>
        <v>51467.5</v>
      </c>
      <c r="Q108" s="98" t="n">
        <f aca="false">Расходы!Q16</f>
        <v>53290</v>
      </c>
      <c r="R108" s="98" t="n">
        <f aca="false">Расходы!R16</f>
        <v>55720</v>
      </c>
      <c r="S108" s="98" t="n">
        <f aca="false">Расходы!S16</f>
        <v>58150</v>
      </c>
    </row>
    <row r="109" customFormat="false" ht="14.25" hidden="false" customHeight="false" outlineLevel="0" collapsed="false">
      <c r="B109" s="68" t="s">
        <v>494</v>
      </c>
      <c r="C109" s="69" t="s">
        <v>90</v>
      </c>
      <c r="D109" s="70" t="n">
        <f aca="false">SUMIF($H$101:$S$101,"Разработка",$H$109:$S$109)</f>
        <v>-52000</v>
      </c>
      <c r="E109" s="70" t="n">
        <f aca="false">SUMIF($H$101:$S$101,"Операционка",$H$109:$S$109)</f>
        <v>162635.14</v>
      </c>
      <c r="F109" s="70" t="n">
        <f aca="false">SUM($H$109:$S$109)</f>
        <v>110635.14</v>
      </c>
      <c r="H109" s="145" t="n">
        <f aca="false">ОПиУ!H26</f>
        <v>-4000</v>
      </c>
      <c r="I109" s="145" t="n">
        <f aca="false">ОПиУ!I26</f>
        <v>-6000</v>
      </c>
      <c r="J109" s="145" t="n">
        <f aca="false">ОПиУ!J26</f>
        <v>-16000</v>
      </c>
      <c r="K109" s="145" t="n">
        <f aca="false">ОПиУ!K26</f>
        <v>-26000</v>
      </c>
      <c r="L109" s="145" t="n">
        <f aca="false">ОПиУ!L26</f>
        <v>-37093.64</v>
      </c>
      <c r="M109" s="145" t="n">
        <f aca="false">ОПиУ!M26</f>
        <v>-27518.28</v>
      </c>
      <c r="N109" s="145" t="n">
        <f aca="false">ОПиУ!N26</f>
        <v>-14145.12</v>
      </c>
      <c r="O109" s="145" t="n">
        <f aca="false">ОПиУ!O26</f>
        <v>375.560000000005</v>
      </c>
      <c r="P109" s="145" t="n">
        <f aca="false">ОПиУ!P26</f>
        <v>16073.02</v>
      </c>
      <c r="Q109" s="145" t="n">
        <f aca="false">ОПиУ!Q26</f>
        <v>40644.08</v>
      </c>
      <c r="R109" s="145" t="n">
        <f aca="false">ОПиУ!R26</f>
        <v>73947.52</v>
      </c>
      <c r="S109" s="145" t="n">
        <f aca="false">ОПиУ!S26</f>
        <v>110352</v>
      </c>
    </row>
    <row r="110" customFormat="false" ht="14.25" hidden="false" customHeight="false" outlineLevel="0" collapsed="false">
      <c r="B110" s="65" t="s">
        <v>495</v>
      </c>
      <c r="C110" s="27"/>
      <c r="H110" s="8" t="str">
        <f aca="false">IF(H$102=0,"разработка",IF(H109&gt;=0,"прибыль","убыток"))</f>
        <v>разработка</v>
      </c>
      <c r="I110" s="8" t="str">
        <f aca="false">IF(I$102=0,"разработка",IF(I109&gt;=0,"прибыль","убыток"))</f>
        <v>разработка</v>
      </c>
      <c r="J110" s="8" t="str">
        <f aca="false">IF(J$102=0,"разработка",IF(J109&gt;=0,"прибыль","убыток"))</f>
        <v>разработка</v>
      </c>
      <c r="K110" s="8" t="str">
        <f aca="false">IF(K$102=0,"разработка",IF(K109&gt;=0,"прибыль","убыток"))</f>
        <v>разработка</v>
      </c>
      <c r="L110" s="8" t="str">
        <f aca="false">IF(L$102=0,"разработка",IF(L109&gt;=0,"прибыль","убыток"))</f>
        <v>убыток</v>
      </c>
      <c r="M110" s="8" t="str">
        <f aca="false">IF(M$102=0,"разработка",IF(M109&gt;=0,"прибыль","убыток"))</f>
        <v>убыток</v>
      </c>
      <c r="N110" s="8" t="str">
        <f aca="false">IF(N$102=0,"разработка",IF(N109&gt;=0,"прибыль","убыток"))</f>
        <v>убыток</v>
      </c>
      <c r="O110" s="8" t="str">
        <f aca="false">IF(O$102=0,"разработка",IF(O109&gt;=0,"прибыль","убыток"))</f>
        <v>прибыль</v>
      </c>
      <c r="P110" s="8" t="str">
        <f aca="false">IF(P$102=0,"разработка",IF(P109&gt;=0,"прибыль","убыток"))</f>
        <v>прибыль</v>
      </c>
      <c r="Q110" s="8" t="str">
        <f aca="false">IF(Q$102=0,"разработка",IF(Q109&gt;=0,"прибыль","убыток"))</f>
        <v>прибыль</v>
      </c>
      <c r="R110" s="8" t="str">
        <f aca="false">IF(R$102=0,"разработка",IF(R109&gt;=0,"прибыль","убыток"))</f>
        <v>прибыль</v>
      </c>
      <c r="S110" s="8" t="str">
        <f aca="false">IF(S$102=0,"разработка",IF(S109&gt;=0,"прибыль","убыток"))</f>
        <v>прибыль</v>
      </c>
    </row>
    <row r="111" customFormat="false" ht="14.25" hidden="false" customHeight="false" outlineLevel="0" collapsed="false">
      <c r="B111" s="65" t="s">
        <v>496</v>
      </c>
      <c r="C111" s="27" t="s">
        <v>90</v>
      </c>
      <c r="H111" s="80" t="n">
        <f aca="false">IF(H105&gt;0,(H106-H107)/H105,0)</f>
        <v>0</v>
      </c>
      <c r="I111" s="80" t="n">
        <f aca="false">IF(I105&gt;0,(I106-I107)/I105,0)</f>
        <v>0</v>
      </c>
      <c r="J111" s="80" t="n">
        <f aca="false">IF(J105&gt;0,(J106-J107)/J105,0)</f>
        <v>0</v>
      </c>
      <c r="K111" s="80" t="n">
        <f aca="false">IF(K105&gt;0,(K106-K107)/K105,0)</f>
        <v>0</v>
      </c>
      <c r="L111" s="80" t="n">
        <f aca="false">IF(L105&gt;0,(L106-L107)/L105,0)</f>
        <v>6.54507333333333</v>
      </c>
      <c r="M111" s="80" t="n">
        <f aca="false">IF(M105&gt;0,(M106-M107)/M105,0)</f>
        <v>6.76807333333333</v>
      </c>
      <c r="N111" s="80" t="n">
        <f aca="false">IF(N105&gt;0,(N106-N107)/N105,0)</f>
        <v>6.978476</v>
      </c>
      <c r="O111" s="80" t="n">
        <f aca="false">IF(O105&gt;0,(O106-O107)/O105,0)</f>
        <v>7.23258</v>
      </c>
      <c r="P111" s="80" t="n">
        <f aca="false">IF(P105&gt;0,(P106-P107)/P105,0)</f>
        <v>7.50450222222222</v>
      </c>
      <c r="Q111" s="80" t="n">
        <f aca="false">IF(Q105&gt;0,(Q106-Q107)/Q105,0)</f>
        <v>7.82784</v>
      </c>
      <c r="R111" s="80" t="n">
        <f aca="false">IF(R105&gt;0,(R106-R107)/R105,0)</f>
        <v>8.10422</v>
      </c>
      <c r="S111" s="80" t="n">
        <f aca="false">IF(S105&gt;0,(S106-S107)/S105,0)</f>
        <v>8.4251</v>
      </c>
    </row>
    <row r="112" customFormat="false" ht="14.25" hidden="false" customHeight="false" outlineLevel="0" collapsed="false">
      <c r="B112" s="65" t="s">
        <v>497</v>
      </c>
      <c r="C112" s="27" t="s">
        <v>87</v>
      </c>
      <c r="H112" s="66" t="n">
        <f aca="false">IF(AND(H$102&gt;0,H111&gt;0),H108/H111,0)</f>
        <v>0</v>
      </c>
      <c r="I112" s="66" t="n">
        <f aca="false">IF(AND(I$102&gt;0,I111&gt;0),I108/I111,0)</f>
        <v>0</v>
      </c>
      <c r="J112" s="66" t="n">
        <f aca="false">IF(AND(J$102&gt;0,J111&gt;0),J108/J111,0)</f>
        <v>0</v>
      </c>
      <c r="K112" s="66" t="n">
        <f aca="false">IF(AND(K$102&gt;0,K111&gt;0),K108/K111,0)</f>
        <v>0</v>
      </c>
      <c r="L112" s="66" t="n">
        <f aca="false">IF(AND(L$102&gt;0,L111&gt;0),L108/L111,0)</f>
        <v>7167.41396327619</v>
      </c>
      <c r="M112" s="66" t="n">
        <f aca="false">IF(AND(M$102&gt;0,M111&gt;0),M108/M111,0)</f>
        <v>7065.89566109902</v>
      </c>
      <c r="N112" s="66" t="n">
        <f aca="false">IF(AND(N$102&gt;0,N111&gt;0),N108/N111,0)</f>
        <v>7026.96405346955</v>
      </c>
      <c r="O112" s="66" t="n">
        <f aca="false">IF(AND(O$102&gt;0,O111&gt;0),O108/O111,0)</f>
        <v>6948.07385469639</v>
      </c>
      <c r="P112" s="66" t="n">
        <f aca="false">IF(AND(P$102&gt;0,P111&gt;0),P108/P111,0)</f>
        <v>6858.21637144636</v>
      </c>
      <c r="Q112" s="66" t="n">
        <f aca="false">IF(AND(Q$102&gt;0,Q111&gt;0),Q108/Q111,0)</f>
        <v>6807.75284114136</v>
      </c>
      <c r="R112" s="66" t="n">
        <f aca="false">IF(AND(R$102&gt;0,R111&gt;0),R108/R111,0)</f>
        <v>6875.43033135823</v>
      </c>
      <c r="S112" s="66" t="n">
        <f aca="false">IF(AND(S$102&gt;0,S111&gt;0),S108/S111,0)</f>
        <v>6901.99522854328</v>
      </c>
    </row>
    <row r="113" customFormat="false" ht="14.25" hidden="false" customHeight="false" outlineLevel="0" collapsed="false">
      <c r="B113" s="65" t="s">
        <v>498</v>
      </c>
      <c r="C113" s="27" t="s">
        <v>106</v>
      </c>
      <c r="H113" s="72" t="n">
        <f aca="false">IF(AND(H$102&gt;0,H105&gt;0),(H105-H112)/H105,0)</f>
        <v>0</v>
      </c>
      <c r="I113" s="72" t="n">
        <f aca="false">IF(AND(I$102&gt;0,I105&gt;0),(I105-I112)/I105,0)</f>
        <v>0</v>
      </c>
      <c r="J113" s="72" t="n">
        <f aca="false">IF(AND(J$102&gt;0,J105&gt;0),(J105-J112)/J105,0)</f>
        <v>0</v>
      </c>
      <c r="K113" s="72" t="n">
        <f aca="false">IF(AND(K$102&gt;0,K105&gt;0),(K105-K112)/K105,0)</f>
        <v>0</v>
      </c>
      <c r="L113" s="72" t="n">
        <f aca="false">IF(AND(L$102&gt;0,L105&gt;0),(L105-L112)/L105,0)</f>
        <v>-3.77827597551746</v>
      </c>
      <c r="M113" s="72" t="n">
        <f aca="false">IF(AND(M$102&gt;0,M105&gt;0),(M105-M112)/M105,0)</f>
        <v>-1.35529855369967</v>
      </c>
      <c r="N113" s="72" t="n">
        <f aca="false">IF(AND(N$102&gt;0,N105&gt;0),(N105-N112)/N105,0)</f>
        <v>-0.405392810693911</v>
      </c>
      <c r="O113" s="72" t="n">
        <f aca="false">IF(AND(O$102&gt;0,O105&gt;0),(O105-O112)/O105,0)</f>
        <v>0.00741802075765892</v>
      </c>
      <c r="P113" s="72" t="n">
        <f aca="false">IF(AND(P$102&gt;0,P105&gt;0),(P105-P112)/P105,0)</f>
        <v>0.237975958728183</v>
      </c>
      <c r="Q113" s="72" t="n">
        <f aca="false">IF(AND(Q$102&gt;0,Q105&gt;0),(Q105-Q112)/Q105,0)</f>
        <v>0.43268726323822</v>
      </c>
      <c r="R113" s="72" t="n">
        <f aca="false">IF(AND(R$102&gt;0,R105&gt;0),(R105-R112)/R105,0)</f>
        <v>0.570285604290111</v>
      </c>
      <c r="S113" s="72" t="n">
        <f aca="false">IF(AND(S$102&gt;0,S105&gt;0),(S105-S112)/S105,0)</f>
        <v>0.654900238572836</v>
      </c>
    </row>
    <row r="114" customFormat="false" ht="14.25" hidden="false" customHeight="false" outlineLevel="0" collapsed="false">
      <c r="B114" s="82" t="s">
        <v>499</v>
      </c>
      <c r="C114" s="27" t="s">
        <v>500</v>
      </c>
      <c r="D114" s="26"/>
      <c r="E114" s="26"/>
      <c r="F114" s="26"/>
      <c r="H114" s="104" t="n">
        <f aca="false">IF(AND(H$102&gt;0,H109&gt;=0),1,0)</f>
        <v>0</v>
      </c>
      <c r="I114" s="104" t="n">
        <f aca="false">IF(AND(I$102&gt;0,I109&gt;=0),1,0)</f>
        <v>0</v>
      </c>
      <c r="J114" s="104" t="n">
        <f aca="false">IF(AND(J$102&gt;0,J109&gt;=0),1,0)</f>
        <v>0</v>
      </c>
      <c r="K114" s="104" t="n">
        <f aca="false">IF(AND(K$102&gt;0,K109&gt;=0),1,0)</f>
        <v>0</v>
      </c>
      <c r="L114" s="104" t="n">
        <f aca="false">IF(AND(L$102&gt;0,L109&gt;=0),1,0)</f>
        <v>0</v>
      </c>
      <c r="M114" s="104" t="n">
        <f aca="false">IF(AND(M$102&gt;0,M109&gt;=0),1,0)</f>
        <v>0</v>
      </c>
      <c r="N114" s="104" t="n">
        <f aca="false">IF(AND(N$102&gt;0,N109&gt;=0),1,0)</f>
        <v>0</v>
      </c>
      <c r="O114" s="104" t="n">
        <f aca="false">IF(AND(O$102&gt;0,O109&gt;=0),1,0)</f>
        <v>1</v>
      </c>
      <c r="P114" s="104" t="n">
        <f aca="false">IF(AND(P$102&gt;0,P109&gt;=0),1,0)</f>
        <v>1</v>
      </c>
      <c r="Q114" s="104" t="n">
        <f aca="false">IF(AND(Q$102&gt;0,Q109&gt;=0),1,0)</f>
        <v>1</v>
      </c>
      <c r="R114" s="104" t="n">
        <f aca="false">IF(AND(R$102&gt;0,R109&gt;=0),1,0)</f>
        <v>1</v>
      </c>
      <c r="S114" s="104" t="n">
        <f aca="false">IF(AND(S$102&gt;0,S109&gt;=0),1,0)</f>
        <v>1</v>
      </c>
    </row>
    <row r="116" customFormat="false" ht="16.5" hidden="false" customHeight="true" outlineLevel="0" collapsed="false">
      <c r="B116" s="6" t="s">
        <v>501</v>
      </c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 customFormat="false" ht="14.25" hidden="false" customHeight="false" outlineLevel="0" collapsed="false">
      <c r="B117" s="65" t="s">
        <v>502</v>
      </c>
      <c r="C117" s="27" t="s">
        <v>90</v>
      </c>
      <c r="D117" s="66" t="n">
        <f aca="false">SUMIF($H$101:$S$101,"Разработка",$H$117:$S$117)</f>
        <v>-52000</v>
      </c>
      <c r="E117" s="66" t="n">
        <f aca="false">SUMIF($H$101:$S$101,"Операционка",$H$117:$S$117)</f>
        <v>162635.14</v>
      </c>
      <c r="F117" s="67" t="n">
        <f aca="false">SUM($H$117:$S$117)</f>
        <v>110635.14</v>
      </c>
      <c r="H117" s="98" t="n">
        <f aca="false">ДДС!H33</f>
        <v>-4000</v>
      </c>
      <c r="I117" s="98" t="n">
        <f aca="false">ДДС!I33</f>
        <v>-6000</v>
      </c>
      <c r="J117" s="98" t="n">
        <f aca="false">ДДС!J33</f>
        <v>-16000</v>
      </c>
      <c r="K117" s="98" t="n">
        <f aca="false">ДДС!K33</f>
        <v>-26000</v>
      </c>
      <c r="L117" s="98" t="n">
        <f aca="false">ДДС!L33</f>
        <v>-37093.64</v>
      </c>
      <c r="M117" s="98" t="n">
        <f aca="false">ДДС!M33</f>
        <v>-27518.28</v>
      </c>
      <c r="N117" s="98" t="n">
        <f aca="false">ДДС!N33</f>
        <v>-14145.12</v>
      </c>
      <c r="O117" s="98" t="n">
        <f aca="false">ДДС!O33</f>
        <v>375.560000000005</v>
      </c>
      <c r="P117" s="98" t="n">
        <f aca="false">ДДС!P33</f>
        <v>16073.02</v>
      </c>
      <c r="Q117" s="98" t="n">
        <f aca="false">ДДС!Q33</f>
        <v>40644.08</v>
      </c>
      <c r="R117" s="98" t="n">
        <f aca="false">ДДС!R33</f>
        <v>73947.52</v>
      </c>
      <c r="S117" s="98" t="n">
        <f aca="false">ДДС!S33</f>
        <v>110352</v>
      </c>
    </row>
    <row r="118" customFormat="false" ht="14.25" hidden="false" customHeight="false" outlineLevel="0" collapsed="false">
      <c r="B118" s="68" t="s">
        <v>503</v>
      </c>
      <c r="C118" s="69" t="s">
        <v>90</v>
      </c>
      <c r="D118" s="70" t="n">
        <f aca="false">INDEX($H$118:$S$118,1,Дев_мес)</f>
        <v>-52000</v>
      </c>
      <c r="E118" s="70" t="n">
        <f aca="false">IF(Опер_мес&gt;0,S118,"")</f>
        <v>110635.14</v>
      </c>
      <c r="F118" s="70" t="n">
        <f aca="false">S118</f>
        <v>110635.14</v>
      </c>
      <c r="H118" s="145" t="n">
        <f aca="false">ДДС!H34</f>
        <v>-4000</v>
      </c>
      <c r="I118" s="145" t="n">
        <f aca="false">ДДС!I34</f>
        <v>-10000</v>
      </c>
      <c r="J118" s="145" t="n">
        <f aca="false">ДДС!J34</f>
        <v>-26000</v>
      </c>
      <c r="K118" s="145" t="n">
        <f aca="false">ДДС!K34</f>
        <v>-52000</v>
      </c>
      <c r="L118" s="145" t="n">
        <f aca="false">ДДС!L34</f>
        <v>-89093.64</v>
      </c>
      <c r="M118" s="145" t="n">
        <f aca="false">ДДС!M34</f>
        <v>-116611.92</v>
      </c>
      <c r="N118" s="145" t="n">
        <f aca="false">ДДС!N34</f>
        <v>-130757.04</v>
      </c>
      <c r="O118" s="145" t="n">
        <f aca="false">ДДС!O34</f>
        <v>-130381.48</v>
      </c>
      <c r="P118" s="145" t="n">
        <f aca="false">ДДС!P34</f>
        <v>-114308.46</v>
      </c>
      <c r="Q118" s="145" t="n">
        <f aca="false">ДДС!Q34</f>
        <v>-73664.38</v>
      </c>
      <c r="R118" s="145" t="n">
        <f aca="false">ДДС!R34</f>
        <v>283.140000000029</v>
      </c>
      <c r="S118" s="145" t="n">
        <f aca="false">ДДС!S34</f>
        <v>110635.14</v>
      </c>
    </row>
    <row r="119" customFormat="false" ht="14.25" hidden="false" customHeight="false" outlineLevel="0" collapsed="false">
      <c r="B119" s="65" t="s">
        <v>504</v>
      </c>
      <c r="C119" s="27"/>
      <c r="H119" s="8" t="str">
        <f aca="false">IF(H$101="Разработка","разработка",IF(H118&gt;=0,"окупился",IF(H117&gt;0,"поток в плюсе","поток в минусе")))</f>
        <v>разработка</v>
      </c>
      <c r="I119" s="8" t="str">
        <f aca="false">IF(I$101="Разработка","разработка",IF(I118&gt;=0,"окупился",IF(I117&gt;0,"поток в плюсе","поток в минусе")))</f>
        <v>разработка</v>
      </c>
      <c r="J119" s="8" t="str">
        <f aca="false">IF(J$101="Разработка","разработка",IF(J118&gt;=0,"окупился",IF(J117&gt;0,"поток в плюсе","поток в минусе")))</f>
        <v>разработка</v>
      </c>
      <c r="K119" s="8" t="str">
        <f aca="false">IF(K$101="Разработка","разработка",IF(K118&gt;=0,"окупился",IF(K117&gt;0,"поток в плюсе","поток в минусе")))</f>
        <v>разработка</v>
      </c>
      <c r="L119" s="8" t="str">
        <f aca="false">IF(L$101="Разработка","разработка",IF(L118&gt;=0,"окупился",IF(L117&gt;0,"поток в плюсе","поток в минусе")))</f>
        <v>поток в минусе</v>
      </c>
      <c r="M119" s="8" t="str">
        <f aca="false">IF(M$101="Разработка","разработка",IF(M118&gt;=0,"окупился",IF(M117&gt;0,"поток в плюсе","поток в минусе")))</f>
        <v>поток в минусе</v>
      </c>
      <c r="N119" s="8" t="str">
        <f aca="false">IF(N$101="Разработка","разработка",IF(N118&gt;=0,"окупился",IF(N117&gt;0,"поток в плюсе","поток в минусе")))</f>
        <v>поток в минусе</v>
      </c>
      <c r="O119" s="8" t="str">
        <f aca="false">IF(O$101="Разработка","разработка",IF(O118&gt;=0,"окупился",IF(O117&gt;0,"поток в плюсе","поток в минусе")))</f>
        <v>поток в плюсе</v>
      </c>
      <c r="P119" s="8" t="str">
        <f aca="false">IF(P$101="Разработка","разработка",IF(P118&gt;=0,"окупился",IF(P117&gt;0,"поток в плюсе","поток в минусе")))</f>
        <v>поток в плюсе</v>
      </c>
      <c r="Q119" s="8" t="str">
        <f aca="false">IF(Q$101="Разработка","разработка",IF(Q118&gt;=0,"окупился",IF(Q117&gt;0,"поток в плюсе","поток в минусе")))</f>
        <v>поток в плюсе</v>
      </c>
      <c r="R119" s="8" t="str">
        <f aca="false">IF(R$101="Разработка","разработка",IF(R118&gt;=0,"окупился",IF(R117&gt;0,"поток в плюсе","поток в минусе")))</f>
        <v>окупился</v>
      </c>
      <c r="S119" s="8" t="str">
        <f aca="false">IF(S$101="Разработка","разработка",IF(S118&gt;=0,"окупился",IF(S117&gt;0,"поток в плюсе","поток в минусе")))</f>
        <v>окупился</v>
      </c>
    </row>
    <row r="120" customFormat="false" ht="14.25" hidden="false" customHeight="false" outlineLevel="0" collapsed="false">
      <c r="B120" s="82" t="s">
        <v>384</v>
      </c>
      <c r="C120" s="27" t="s">
        <v>74</v>
      </c>
      <c r="D120" s="26"/>
      <c r="E120" s="26"/>
      <c r="F120" s="26"/>
      <c r="H120" s="83" t="str">
        <f aca="false">IF(H118&gt;=0,0,"")</f>
        <v/>
      </c>
      <c r="I120" s="83" t="str">
        <f aca="false">IF(AND(I118&gt;=0,H118&lt;0),(I$99-1)+(-H118)/I117,"")</f>
        <v/>
      </c>
      <c r="J120" s="83" t="str">
        <f aca="false">IF(AND(J118&gt;=0,I118&lt;0),(J$99-1)+(-I118)/J117,"")</f>
        <v/>
      </c>
      <c r="K120" s="83" t="str">
        <f aca="false">IF(AND(K118&gt;=0,J118&lt;0),(K$99-1)+(-J118)/K117,"")</f>
        <v/>
      </c>
      <c r="L120" s="83" t="str">
        <f aca="false">IF(AND(L118&gt;=0,K118&lt;0),(L$99-1)+(-K118)/L117,"")</f>
        <v/>
      </c>
      <c r="M120" s="83" t="str">
        <f aca="false">IF(AND(M118&gt;=0,L118&lt;0),(M$99-1)+(-L118)/M117,"")</f>
        <v/>
      </c>
      <c r="N120" s="83" t="str">
        <f aca="false">IF(AND(N118&gt;=0,M118&lt;0),(N$99-1)+(-M118)/N117,"")</f>
        <v/>
      </c>
      <c r="O120" s="83" t="str">
        <f aca="false">IF(AND(O118&gt;=0,N118&lt;0),(O$99-1)+(-N118)/O117,"")</f>
        <v/>
      </c>
      <c r="P120" s="83" t="str">
        <f aca="false">IF(AND(P118&gt;=0,O118&lt;0),(P$99-1)+(-O118)/P117,"")</f>
        <v/>
      </c>
      <c r="Q120" s="83" t="str">
        <f aca="false">IF(AND(Q118&gt;=0,P118&lt;0),(Q$99-1)+(-P118)/Q117,"")</f>
        <v/>
      </c>
      <c r="R120" s="83" t="n">
        <f aca="false">IF(AND(R118&gt;=0,Q118&lt;0),(R$99-1)+(-Q118)/R117,"")</f>
        <v>10.9961710683468</v>
      </c>
      <c r="S120" s="83" t="str">
        <f aca="false">IF(AND(S118&gt;=0,R118&lt;0),(S$99-1)+(-R118)/S117,"")</f>
        <v/>
      </c>
    </row>
    <row r="121" customFormat="false" ht="14.25" hidden="false" customHeight="false" outlineLevel="0" collapsed="false">
      <c r="B121" s="65" t="s">
        <v>505</v>
      </c>
      <c r="C121" s="27" t="s">
        <v>90</v>
      </c>
      <c r="D121" s="66" t="n">
        <f aca="false">SUMIF($H$101:$S$101,"Разработка",$H$121:$S$121)</f>
        <v>-52000</v>
      </c>
      <c r="E121" s="66" t="n">
        <f aca="false">SUMIF($H$101:$S$101,"Операционка",$H$121:$S$121)</f>
        <v>162635.14</v>
      </c>
      <c r="F121" s="67" t="n">
        <f aca="false">SUM($H$121:$S$121)</f>
        <v>110635.14</v>
      </c>
      <c r="H121" s="98" t="n">
        <f aca="false">ДДС!H30</f>
        <v>-4000</v>
      </c>
      <c r="I121" s="98" t="n">
        <f aca="false">ДДС!I30</f>
        <v>-6000</v>
      </c>
      <c r="J121" s="98" t="n">
        <f aca="false">ДДС!J30</f>
        <v>-16000</v>
      </c>
      <c r="K121" s="98" t="n">
        <f aca="false">ДДС!K30</f>
        <v>-26000</v>
      </c>
      <c r="L121" s="98" t="n">
        <f aca="false">ДДС!L30</f>
        <v>-37093.64</v>
      </c>
      <c r="M121" s="98" t="n">
        <f aca="false">ДДС!M30</f>
        <v>-27518.28</v>
      </c>
      <c r="N121" s="98" t="n">
        <f aca="false">ДДС!N30</f>
        <v>-14145.12</v>
      </c>
      <c r="O121" s="98" t="n">
        <f aca="false">ДДС!O30</f>
        <v>375.560000000005</v>
      </c>
      <c r="P121" s="98" t="n">
        <f aca="false">ДДС!P30</f>
        <v>16073.02</v>
      </c>
      <c r="Q121" s="98" t="n">
        <f aca="false">ДДС!Q30</f>
        <v>40644.08</v>
      </c>
      <c r="R121" s="98" t="n">
        <f aca="false">ДДС!R30</f>
        <v>73947.52</v>
      </c>
      <c r="S121" s="98" t="n">
        <f aca="false">ДДС!S30</f>
        <v>110352</v>
      </c>
    </row>
    <row r="122" customFormat="false" ht="14.25" hidden="false" customHeight="false" outlineLevel="0" collapsed="false">
      <c r="B122" s="68" t="s">
        <v>62</v>
      </c>
      <c r="C122" s="69" t="s">
        <v>90</v>
      </c>
      <c r="D122" s="70" t="n">
        <f aca="false">INDEX($H$122:$S$122,1,Дев_мес)</f>
        <v>-52000</v>
      </c>
      <c r="E122" s="70" t="n">
        <f aca="false">IF(Опер_мес&gt;0,S122,"")</f>
        <v>110635.14</v>
      </c>
      <c r="F122" s="70" t="n">
        <f aca="false">S122</f>
        <v>110635.14</v>
      </c>
      <c r="H122" s="70" t="n">
        <f aca="false">H121</f>
        <v>-4000</v>
      </c>
      <c r="I122" s="70" t="n">
        <f aca="false">H122+I121</f>
        <v>-10000</v>
      </c>
      <c r="J122" s="70" t="n">
        <f aca="false">I122+J121</f>
        <v>-26000</v>
      </c>
      <c r="K122" s="70" t="n">
        <f aca="false">J122+K121</f>
        <v>-52000</v>
      </c>
      <c r="L122" s="70" t="n">
        <f aca="false">K122+L121</f>
        <v>-89093.64</v>
      </c>
      <c r="M122" s="70" t="n">
        <f aca="false">L122+M121</f>
        <v>-116611.92</v>
      </c>
      <c r="N122" s="70" t="n">
        <f aca="false">M122+N121</f>
        <v>-130757.04</v>
      </c>
      <c r="O122" s="70" t="n">
        <f aca="false">N122+O121</f>
        <v>-130381.48</v>
      </c>
      <c r="P122" s="70" t="n">
        <f aca="false">O122+P121</f>
        <v>-114308.46</v>
      </c>
      <c r="Q122" s="70" t="n">
        <f aca="false">P122+Q121</f>
        <v>-73664.38</v>
      </c>
      <c r="R122" s="70" t="n">
        <f aca="false">Q122+R121</f>
        <v>283.140000000029</v>
      </c>
      <c r="S122" s="70" t="n">
        <f aca="false">R122+S121</f>
        <v>110635.14</v>
      </c>
    </row>
    <row r="123" customFormat="false" ht="14.25" hidden="false" customHeight="false" outlineLevel="0" collapsed="false">
      <c r="B123" s="82" t="s">
        <v>384</v>
      </c>
      <c r="C123" s="27" t="s">
        <v>74</v>
      </c>
      <c r="D123" s="26"/>
      <c r="E123" s="26"/>
      <c r="F123" s="26"/>
      <c r="H123" s="83" t="str">
        <f aca="false">IF(H122&gt;=0,0,"")</f>
        <v/>
      </c>
      <c r="I123" s="83" t="str">
        <f aca="false">IF(AND(I122&gt;=0,H122&lt;0),(I$99-1)+(-H122)/I121,"")</f>
        <v/>
      </c>
      <c r="J123" s="83" t="str">
        <f aca="false">IF(AND(J122&gt;=0,I122&lt;0),(J$99-1)+(-I122)/J121,"")</f>
        <v/>
      </c>
      <c r="K123" s="83" t="str">
        <f aca="false">IF(AND(K122&gt;=0,J122&lt;0),(K$99-1)+(-J122)/K121,"")</f>
        <v/>
      </c>
      <c r="L123" s="83" t="str">
        <f aca="false">IF(AND(L122&gt;=0,K122&lt;0),(L$99-1)+(-K122)/L121,"")</f>
        <v/>
      </c>
      <c r="M123" s="83" t="str">
        <f aca="false">IF(AND(M122&gt;=0,L122&lt;0),(M$99-1)+(-L122)/M121,"")</f>
        <v/>
      </c>
      <c r="N123" s="83" t="str">
        <f aca="false">IF(AND(N122&gt;=0,M122&lt;0),(N$99-1)+(-M122)/N121,"")</f>
        <v/>
      </c>
      <c r="O123" s="83" t="str">
        <f aca="false">IF(AND(O122&gt;=0,N122&lt;0),(O$99-1)+(-N122)/O121,"")</f>
        <v/>
      </c>
      <c r="P123" s="83" t="str">
        <f aca="false">IF(AND(P122&gt;=0,O122&lt;0),(P$99-1)+(-O122)/P121,"")</f>
        <v/>
      </c>
      <c r="Q123" s="83" t="str">
        <f aca="false">IF(AND(Q122&gt;=0,P122&lt;0),(Q$99-1)+(-P122)/Q121,"")</f>
        <v/>
      </c>
      <c r="R123" s="83" t="n">
        <f aca="false">IF(AND(R122&gt;=0,Q122&lt;0),(R$99-1)+(-Q122)/R121,"")</f>
        <v>10.9961710683468</v>
      </c>
      <c r="S123" s="83" t="str">
        <f aca="false">IF(AND(S122&gt;=0,R122&lt;0),(S$99-1)+(-R122)/S121,"")</f>
        <v/>
      </c>
    </row>
    <row r="124" customFormat="false" ht="14.25" hidden="false" customHeight="false" outlineLevel="0" collapsed="false">
      <c r="B124" s="65" t="s">
        <v>506</v>
      </c>
      <c r="C124" s="27"/>
      <c r="H124" s="146" t="n">
        <f aca="false">1/(1+Ставка_дисконта)^(H$99/12)</f>
        <v>0.983565637299512</v>
      </c>
      <c r="I124" s="146" t="n">
        <f aca="false">1/(1+Ставка_дисконта)^(I$99/12)</f>
        <v>0.967401362876395</v>
      </c>
      <c r="J124" s="146" t="n">
        <f aca="false">1/(1+Ставка_дисконта)^(J$99/12)</f>
        <v>0.951502738001938</v>
      </c>
      <c r="K124" s="146" t="n">
        <f aca="false">1/(1+Ставка_дисконта)^(K$99/12)</f>
        <v>0.935865396895107</v>
      </c>
      <c r="L124" s="146" t="n">
        <f aca="false">1/(1+Ставка_дисконта)^(L$99/12)</f>
        <v>0.920485045523697</v>
      </c>
      <c r="M124" s="146" t="n">
        <f aca="false">1/(1+Ставка_дисконта)^(M$99/12)</f>
        <v>0.905357460425185</v>
      </c>
      <c r="N124" s="146" t="n">
        <f aca="false">1/(1+Ставка_дисконта)^(N$99/12)</f>
        <v>0.890478487546965</v>
      </c>
      <c r="O124" s="146" t="n">
        <f aca="false">1/(1+Ставка_дисконта)^(O$99/12)</f>
        <v>0.875844041105636</v>
      </c>
      <c r="P124" s="146" t="n">
        <f aca="false">1/(1+Ставка_дисконта)^(P$99/12)</f>
        <v>0.861450102465045</v>
      </c>
      <c r="Q124" s="146" t="n">
        <f aca="false">1/(1+Ставка_дисконта)^(Q$99/12)</f>
        <v>0.847292719032762</v>
      </c>
      <c r="R124" s="146" t="n">
        <f aca="false">1/(1+Ставка_дисконта)^(R$99/12)</f>
        <v>0.833368003174695</v>
      </c>
      <c r="S124" s="146" t="n">
        <f aca="false">1/(1+Ставка_дисконта)^(S$99/12)</f>
        <v>0.819672131147541</v>
      </c>
    </row>
    <row r="125" customFormat="false" ht="14.25" hidden="false" customHeight="false" outlineLevel="0" collapsed="false">
      <c r="B125" s="65" t="s">
        <v>507</v>
      </c>
      <c r="C125" s="27" t="s">
        <v>90</v>
      </c>
      <c r="D125" s="66" t="n">
        <f aca="false">SUMIF($H$101:$S$101,"Разработка",$H$125:$S$125)</f>
        <v>-49295.2148537602</v>
      </c>
      <c r="E125" s="66" t="n">
        <f aca="false">SUMIF($H$101:$S$101,"Операционка",$H$125:$S$125)</f>
        <v>129036.479804421</v>
      </c>
      <c r="F125" s="67" t="n">
        <f aca="false">SUM($H$125:$S$125)</f>
        <v>79741.2649506605</v>
      </c>
      <c r="H125" s="66" t="n">
        <f aca="false">H121*H124</f>
        <v>-3934.26254919805</v>
      </c>
      <c r="I125" s="66" t="n">
        <f aca="false">I121*I124</f>
        <v>-5804.40817725837</v>
      </c>
      <c r="J125" s="66" t="n">
        <f aca="false">J121*J124</f>
        <v>-15224.043808031</v>
      </c>
      <c r="K125" s="66" t="n">
        <f aca="false">K121*K124</f>
        <v>-24332.5003192728</v>
      </c>
      <c r="L125" s="66" t="n">
        <f aca="false">L121*L124</f>
        <v>-34144.1409040396</v>
      </c>
      <c r="M125" s="66" t="n">
        <f aca="false">M121*M124</f>
        <v>-24913.8800960692</v>
      </c>
      <c r="N125" s="66" t="n">
        <f aca="false">N121*N124</f>
        <v>-12595.9250637703</v>
      </c>
      <c r="O125" s="66" t="n">
        <f aca="false">O121*O124</f>
        <v>328.931988077638</v>
      </c>
      <c r="P125" s="66" t="n">
        <f aca="false">P121*P124</f>
        <v>13846.1047259227</v>
      </c>
      <c r="Q125" s="66" t="n">
        <f aca="false">Q121*Q124</f>
        <v>34437.4330557851</v>
      </c>
      <c r="R125" s="66" t="n">
        <f aca="false">R121*R124</f>
        <v>61625.4970821209</v>
      </c>
      <c r="S125" s="66" t="n">
        <f aca="false">S121*S124</f>
        <v>90452.4590163935</v>
      </c>
    </row>
    <row r="126" customFormat="false" ht="14.25" hidden="false" customHeight="false" outlineLevel="0" collapsed="false">
      <c r="B126" s="68" t="s">
        <v>508</v>
      </c>
      <c r="C126" s="69" t="s">
        <v>90</v>
      </c>
      <c r="D126" s="70" t="n">
        <f aca="false">INDEX($H$126:$S$126,1,Дев_мес)</f>
        <v>-49295.2148537602</v>
      </c>
      <c r="E126" s="70" t="n">
        <f aca="false">IF(Опер_мес&gt;0,S126,"")</f>
        <v>79741.2649506605</v>
      </c>
      <c r="F126" s="70" t="n">
        <f aca="false">S126</f>
        <v>79741.2649506605</v>
      </c>
      <c r="H126" s="70" t="n">
        <f aca="false">H125</f>
        <v>-3934.26254919805</v>
      </c>
      <c r="I126" s="70" t="n">
        <f aca="false">H126+I125</f>
        <v>-9738.67072645642</v>
      </c>
      <c r="J126" s="70" t="n">
        <f aca="false">I126+J125</f>
        <v>-24962.7145344874</v>
      </c>
      <c r="K126" s="70" t="n">
        <f aca="false">J126+K125</f>
        <v>-49295.2148537602</v>
      </c>
      <c r="L126" s="70" t="n">
        <f aca="false">K126+L125</f>
        <v>-83439.3557577998</v>
      </c>
      <c r="M126" s="70" t="n">
        <f aca="false">L126+M125</f>
        <v>-108353.235853869</v>
      </c>
      <c r="N126" s="70" t="n">
        <f aca="false">M126+N125</f>
        <v>-120949.160917639</v>
      </c>
      <c r="O126" s="70" t="n">
        <f aca="false">N126+O125</f>
        <v>-120620.228929562</v>
      </c>
      <c r="P126" s="70" t="n">
        <f aca="false">O126+P125</f>
        <v>-106774.124203639</v>
      </c>
      <c r="Q126" s="70" t="n">
        <f aca="false">P126+Q125</f>
        <v>-72336.6911478539</v>
      </c>
      <c r="R126" s="70" t="n">
        <f aca="false">Q126+R125</f>
        <v>-10711.194065733</v>
      </c>
      <c r="S126" s="70" t="n">
        <f aca="false">R126+S125</f>
        <v>79741.2649506605</v>
      </c>
    </row>
    <row r="127" customFormat="false" ht="14.25" hidden="false" customHeight="false" outlineLevel="0" collapsed="false">
      <c r="B127" s="82" t="s">
        <v>384</v>
      </c>
      <c r="C127" s="27" t="s">
        <v>74</v>
      </c>
      <c r="D127" s="26"/>
      <c r="E127" s="26"/>
      <c r="F127" s="26"/>
      <c r="H127" s="83" t="str">
        <f aca="false">IF(H126&gt;=0,0,"")</f>
        <v/>
      </c>
      <c r="I127" s="83" t="str">
        <f aca="false">IF(AND(I126&gt;=0,H126&lt;0),(I$99-1)+(-H126)/I125,"")</f>
        <v/>
      </c>
      <c r="J127" s="83" t="str">
        <f aca="false">IF(AND(J126&gt;=0,I126&lt;0),(J$99-1)+(-I126)/J125,"")</f>
        <v/>
      </c>
      <c r="K127" s="83" t="str">
        <f aca="false">IF(AND(K126&gt;=0,J126&lt;0),(K$99-1)+(-J126)/K125,"")</f>
        <v/>
      </c>
      <c r="L127" s="83" t="str">
        <f aca="false">IF(AND(L126&gt;=0,K126&lt;0),(L$99-1)+(-K126)/L125,"")</f>
        <v/>
      </c>
      <c r="M127" s="83" t="str">
        <f aca="false">IF(AND(M126&gt;=0,L126&lt;0),(M$99-1)+(-L126)/M125,"")</f>
        <v/>
      </c>
      <c r="N127" s="83" t="str">
        <f aca="false">IF(AND(N126&gt;=0,M126&lt;0),(N$99-1)+(-M126)/N125,"")</f>
        <v/>
      </c>
      <c r="O127" s="83" t="str">
        <f aca="false">IF(AND(O126&gt;=0,N126&lt;0),(O$99-1)+(-N126)/O125,"")</f>
        <v/>
      </c>
      <c r="P127" s="83" t="str">
        <f aca="false">IF(AND(P126&gt;=0,O126&lt;0),(P$99-1)+(-O126)/P125,"")</f>
        <v/>
      </c>
      <c r="Q127" s="83" t="str">
        <f aca="false">IF(AND(Q126&gt;=0,P126&lt;0),(Q$99-1)+(-P126)/Q125,"")</f>
        <v/>
      </c>
      <c r="R127" s="83" t="str">
        <f aca="false">IF(AND(R126&gt;=0,Q126&lt;0),(R$99-1)+(-Q126)/R125,"")</f>
        <v/>
      </c>
      <c r="S127" s="83" t="n">
        <f aca="false">IF(AND(S126&gt;=0,R126&lt;0),(S$99-1)+(-R126)/S125,"")</f>
        <v>11.118417942223</v>
      </c>
    </row>
    <row r="128" customFormat="false" ht="14.25" hidden="false" customHeight="false" outlineLevel="0" collapsed="false">
      <c r="B128" s="65" t="s">
        <v>509</v>
      </c>
      <c r="C128" s="27" t="s">
        <v>90</v>
      </c>
      <c r="D128" s="66" t="n">
        <f aca="false">SUMIF($H$101:$S$101,"Разработка",$H$128:$S$128)</f>
        <v>-52000</v>
      </c>
      <c r="E128" s="66" t="n">
        <f aca="false">SUMIF($H$101:$S$101,"Операционка",$H$128:$S$128)</f>
        <v>162635.14</v>
      </c>
      <c r="F128" s="67" t="n">
        <f aca="false">SUM($H$128:$S$128)</f>
        <v>110635.14</v>
      </c>
      <c r="H128" s="98" t="n">
        <f aca="false">ОПиУ!H31</f>
        <v>-4000</v>
      </c>
      <c r="I128" s="98" t="n">
        <f aca="false">ОПиУ!I31</f>
        <v>-6000</v>
      </c>
      <c r="J128" s="98" t="n">
        <f aca="false">ОПиУ!J31</f>
        <v>-16000</v>
      </c>
      <c r="K128" s="98" t="n">
        <f aca="false">ОПиУ!K31</f>
        <v>-26000</v>
      </c>
      <c r="L128" s="98" t="n">
        <f aca="false">ОПиУ!L31</f>
        <v>-37093.64</v>
      </c>
      <c r="M128" s="98" t="n">
        <f aca="false">ОПиУ!M31</f>
        <v>-27518.28</v>
      </c>
      <c r="N128" s="98" t="n">
        <f aca="false">ОПиУ!N31</f>
        <v>-14145.12</v>
      </c>
      <c r="O128" s="98" t="n">
        <f aca="false">ОПиУ!O31</f>
        <v>375.560000000005</v>
      </c>
      <c r="P128" s="98" t="n">
        <f aca="false">ОПиУ!P31</f>
        <v>16073.02</v>
      </c>
      <c r="Q128" s="98" t="n">
        <f aca="false">ОПиУ!Q31</f>
        <v>40644.08</v>
      </c>
      <c r="R128" s="98" t="n">
        <f aca="false">ОПиУ!R31</f>
        <v>73947.52</v>
      </c>
      <c r="S128" s="98" t="n">
        <f aca="false">ОПиУ!S31</f>
        <v>110352</v>
      </c>
    </row>
    <row r="129" customFormat="false" ht="14.25" hidden="false" customHeight="false" outlineLevel="0" collapsed="false">
      <c r="B129" s="68" t="s">
        <v>308</v>
      </c>
      <c r="C129" s="69" t="s">
        <v>90</v>
      </c>
      <c r="D129" s="70" t="n">
        <f aca="false">INDEX($H$129:$S$129,1,Дев_мес)</f>
        <v>-52000</v>
      </c>
      <c r="E129" s="70" t="n">
        <f aca="false">IF(Опер_мес&gt;0,S129,"")</f>
        <v>110635.14</v>
      </c>
      <c r="F129" s="70" t="n">
        <f aca="false">S129</f>
        <v>110635.14</v>
      </c>
      <c r="H129" s="145" t="n">
        <f aca="false">ОПиУ!H33</f>
        <v>-4000</v>
      </c>
      <c r="I129" s="145" t="n">
        <f aca="false">ОПиУ!I33</f>
        <v>-10000</v>
      </c>
      <c r="J129" s="145" t="n">
        <f aca="false">ОПиУ!J33</f>
        <v>-26000</v>
      </c>
      <c r="K129" s="145" t="n">
        <f aca="false">ОПиУ!K33</f>
        <v>-52000</v>
      </c>
      <c r="L129" s="145" t="n">
        <f aca="false">ОПиУ!L33</f>
        <v>-89093.64</v>
      </c>
      <c r="M129" s="145" t="n">
        <f aca="false">ОПиУ!M33</f>
        <v>-116611.92</v>
      </c>
      <c r="N129" s="145" t="n">
        <f aca="false">ОПиУ!N33</f>
        <v>-130757.04</v>
      </c>
      <c r="O129" s="145" t="n">
        <f aca="false">ОПиУ!O33</f>
        <v>-130381.48</v>
      </c>
      <c r="P129" s="145" t="n">
        <f aca="false">ОПиУ!P33</f>
        <v>-114308.46</v>
      </c>
      <c r="Q129" s="145" t="n">
        <f aca="false">ОПиУ!Q33</f>
        <v>-73664.38</v>
      </c>
      <c r="R129" s="145" t="n">
        <f aca="false">ОПиУ!R33</f>
        <v>283.140000000029</v>
      </c>
      <c r="S129" s="145" t="n">
        <f aca="false">ОПиУ!S33</f>
        <v>110635.14</v>
      </c>
    </row>
    <row r="130" customFormat="false" ht="14.25" hidden="false" customHeight="false" outlineLevel="0" collapsed="false">
      <c r="B130" s="82" t="s">
        <v>384</v>
      </c>
      <c r="C130" s="27" t="s">
        <v>74</v>
      </c>
      <c r="D130" s="26"/>
      <c r="E130" s="26"/>
      <c r="F130" s="26"/>
      <c r="H130" s="83" t="str">
        <f aca="false">IF(H129&gt;=0,0,"")</f>
        <v/>
      </c>
      <c r="I130" s="83" t="str">
        <f aca="false">IF(AND(I129&gt;=0,H129&lt;0),(I$99-1)+(-H129)/I128,"")</f>
        <v/>
      </c>
      <c r="J130" s="83" t="str">
        <f aca="false">IF(AND(J129&gt;=0,I129&lt;0),(J$99-1)+(-I129)/J128,"")</f>
        <v/>
      </c>
      <c r="K130" s="83" t="str">
        <f aca="false">IF(AND(K129&gt;=0,J129&lt;0),(K$99-1)+(-J129)/K128,"")</f>
        <v/>
      </c>
      <c r="L130" s="83" t="str">
        <f aca="false">IF(AND(L129&gt;=0,K129&lt;0),(L$99-1)+(-K129)/L128,"")</f>
        <v/>
      </c>
      <c r="M130" s="83" t="str">
        <f aca="false">IF(AND(M129&gt;=0,L129&lt;0),(M$99-1)+(-L129)/M128,"")</f>
        <v/>
      </c>
      <c r="N130" s="83" t="str">
        <f aca="false">IF(AND(N129&gt;=0,M129&lt;0),(N$99-1)+(-M129)/N128,"")</f>
        <v/>
      </c>
      <c r="O130" s="83" t="str">
        <f aca="false">IF(AND(O129&gt;=0,N129&lt;0),(O$99-1)+(-N129)/O128,"")</f>
        <v/>
      </c>
      <c r="P130" s="83" t="str">
        <f aca="false">IF(AND(P129&gt;=0,O129&lt;0),(P$99-1)+(-O129)/P128,"")</f>
        <v/>
      </c>
      <c r="Q130" s="83" t="str">
        <f aca="false">IF(AND(Q129&gt;=0,P129&lt;0),(Q$99-1)+(-P129)/Q128,"")</f>
        <v/>
      </c>
      <c r="R130" s="83" t="n">
        <f aca="false">IF(AND(R129&gt;=0,Q129&lt;0),(R$99-1)+(-Q129)/R128,"")</f>
        <v>10.9961710683468</v>
      </c>
      <c r="S130" s="83" t="str">
        <f aca="false">IF(AND(S129&gt;=0,R129&lt;0),(S$99-1)+(-R129)/S128,"")</f>
        <v/>
      </c>
    </row>
    <row r="132" customFormat="false" ht="16.5" hidden="false" customHeight="true" outlineLevel="0" collapsed="false">
      <c r="B132" s="6" t="s">
        <v>510</v>
      </c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 customFormat="false" ht="14.25" hidden="true" customHeight="false" outlineLevel="0" collapsed="false">
      <c r="B133" s="65" t="s">
        <v>511</v>
      </c>
      <c r="C133" s="27" t="s">
        <v>90</v>
      </c>
      <c r="D133" s="66" t="n">
        <f aca="false">SUMIF($H$101:$S$101,"Разработка",$H$133:$S$133)</f>
        <v>0</v>
      </c>
      <c r="E133" s="66" t="n">
        <f aca="false">SUMIF($H$101:$S$101,"Операционка",$H$133:$S$133)</f>
        <v>0</v>
      </c>
      <c r="F133" s="67" t="n">
        <f aca="false">SUM($H$133:$S$133)</f>
        <v>0</v>
      </c>
      <c r="H133" s="98" t="n">
        <f aca="false">0</f>
        <v>0</v>
      </c>
      <c r="I133" s="98" t="n">
        <f aca="false">0</f>
        <v>0</v>
      </c>
      <c r="J133" s="98" t="n">
        <f aca="false">0</f>
        <v>0</v>
      </c>
      <c r="K133" s="98" t="n">
        <f aca="false">0</f>
        <v>0</v>
      </c>
      <c r="L133" s="98" t="n">
        <f aca="false">0</f>
        <v>0</v>
      </c>
      <c r="M133" s="98" t="n">
        <f aca="false">0</f>
        <v>0</v>
      </c>
      <c r="N133" s="98" t="n">
        <f aca="false">0</f>
        <v>0</v>
      </c>
      <c r="O133" s="98" t="n">
        <f aca="false">0</f>
        <v>0</v>
      </c>
      <c r="P133" s="98" t="n">
        <f aca="false">0</f>
        <v>0</v>
      </c>
      <c r="Q133" s="98" t="n">
        <f aca="false">0</f>
        <v>0</v>
      </c>
      <c r="R133" s="98" t="n">
        <f aca="false">0</f>
        <v>0</v>
      </c>
      <c r="S133" s="98" t="n">
        <f aca="false">0</f>
        <v>0</v>
      </c>
    </row>
    <row r="134" customFormat="false" ht="14.25" hidden="true" customHeight="false" outlineLevel="0" collapsed="false">
      <c r="B134" s="65" t="s">
        <v>512</v>
      </c>
      <c r="C134" s="27" t="s">
        <v>191</v>
      </c>
      <c r="H134" s="147" t="str">
        <f aca="false">""</f>
        <v/>
      </c>
      <c r="I134" s="147" t="str">
        <f aca="false">""</f>
        <v/>
      </c>
      <c r="J134" s="147" t="str">
        <f aca="false">""</f>
        <v/>
      </c>
      <c r="K134" s="147" t="str">
        <f aca="false">""</f>
        <v/>
      </c>
      <c r="L134" s="147" t="str">
        <f aca="false">""</f>
        <v/>
      </c>
      <c r="M134" s="147" t="str">
        <f aca="false">""</f>
        <v/>
      </c>
      <c r="N134" s="147" t="str">
        <f aca="false">""</f>
        <v/>
      </c>
      <c r="O134" s="147" t="str">
        <f aca="false">""</f>
        <v/>
      </c>
      <c r="P134" s="147" t="str">
        <f aca="false">""</f>
        <v/>
      </c>
      <c r="Q134" s="147" t="str">
        <f aca="false">""</f>
        <v/>
      </c>
      <c r="R134" s="147" t="str">
        <f aca="false">""</f>
        <v/>
      </c>
      <c r="S134" s="147" t="str">
        <f aca="false">""</f>
        <v/>
      </c>
    </row>
    <row r="135" customFormat="false" ht="14.25" hidden="false" customHeight="false" outlineLevel="0" collapsed="false">
      <c r="B135" s="65" t="s">
        <v>513</v>
      </c>
      <c r="C135" s="27" t="s">
        <v>191</v>
      </c>
      <c r="H135" s="148" t="str">
        <f aca="false">IF(H133&gt;0,(ДДС!H27+H133)/H133,"")</f>
        <v/>
      </c>
      <c r="I135" s="148" t="str">
        <f aca="false">IF(I133&gt;0,(ДДС!I27+I133)/I133,"")</f>
        <v/>
      </c>
      <c r="J135" s="148" t="str">
        <f aca="false">IF(J133&gt;0,(ДДС!J27+J133)/J133,"")</f>
        <v/>
      </c>
      <c r="K135" s="148" t="str">
        <f aca="false">IF(K133&gt;0,(ДДС!K27+K133)/K133,"")</f>
        <v/>
      </c>
      <c r="L135" s="148" t="str">
        <f aca="false">IF(L133&gt;0,(ДДС!L27+L133)/L133,"")</f>
        <v/>
      </c>
      <c r="M135" s="148" t="str">
        <f aca="false">IF(M133&gt;0,(ДДС!M27+M133)/M133,"")</f>
        <v/>
      </c>
      <c r="N135" s="148" t="str">
        <f aca="false">IF(N133&gt;0,(ДДС!N27+N133)/N133,"")</f>
        <v/>
      </c>
      <c r="O135" s="148" t="str">
        <f aca="false">IF(O133&gt;0,(ДДС!O27+O133)/O133,"")</f>
        <v/>
      </c>
      <c r="P135" s="148" t="str">
        <f aca="false">IF(P133&gt;0,(ДДС!P27+P133)/P133,"")</f>
        <v/>
      </c>
      <c r="Q135" s="148" t="str">
        <f aca="false">IF(Q133&gt;0,(ДДС!Q27+Q133)/Q133,"")</f>
        <v/>
      </c>
      <c r="R135" s="148" t="str">
        <f aca="false">IF(R133&gt;0,(ДДС!R27+R133)/R133,"")</f>
        <v/>
      </c>
      <c r="S135" s="148" t="str">
        <f aca="false">IF(S133&gt;0,(ДДС!S27+S133)/S133,"")</f>
        <v/>
      </c>
    </row>
  </sheetData>
  <conditionalFormatting sqref="H134:S134">
    <cfRule type="cellIs" priority="2" operator="lessThan" aboveAverage="0" equalAverage="0" bottom="0" percent="0" rank="0" text="" dxfId="13">
      <formula>1</formula>
    </cfRule>
  </conditionalFormatting>
  <conditionalFormatting sqref="H118:S118">
    <cfRule type="cellIs" priority="3" operator="greaterThanOrEqual" aboveAverage="0" equalAverage="0" bottom="0" percent="0" rank="0" text="" dxfId="1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B2:Q133"/>
  <sheetViews>
    <sheetView showFormulas="false" showGridLines="false" showRowColHeaders="true" showZeros="true" rightToLeft="false" tabSelected="false" showOutlineSymbols="true" defaultGridColor="true" view="normal" topLeftCell="D1" colorId="64" zoomScale="90" zoomScaleNormal="90" zoomScalePageLayoutView="100" workbookViewId="0">
      <selection pane="topLeft" activeCell="G25" activeCellId="0" sqref="G25"/>
    </sheetView>
  </sheetViews>
  <sheetFormatPr defaultColWidth="8.5390625" defaultRowHeight="14.25" customHeight="true" zeroHeight="false" outlineLevelRow="1" outlineLevelCol="0"/>
  <cols>
    <col collapsed="false" customWidth="true" hidden="false" outlineLevel="0" max="1" min="1" style="1" width="1.44"/>
    <col collapsed="false" customWidth="true" hidden="false" outlineLevel="0" max="2" min="2" style="1" width="44"/>
    <col collapsed="false" customWidth="true" hidden="false" outlineLevel="0" max="16" min="3" style="1" width="13"/>
    <col collapsed="false" customWidth="true" hidden="false" outlineLevel="0" max="17" min="17" style="1" width="14"/>
  </cols>
  <sheetData>
    <row r="2" customFormat="false" ht="24" hidden="false" customHeight="true" outlineLevel="0" collapsed="false">
      <c r="B2" s="16" t="s">
        <v>514</v>
      </c>
    </row>
    <row r="3" customFormat="false" ht="14.25" hidden="false" customHeight="false" outlineLevel="0" collapsed="false">
      <c r="B3" s="5" t="str">
        <f aca="false">"Центр анализа: активный сценарий «"&amp;Сценарий&amp;"». Показатель: чистая прибыль за 12 мес. Каждый фактор меняется при прочих равных."</f>
        <v>Центр анализа: активный сценарий «Базовый». Показатель: чистая прибыль за 12 мес. Каждый фактор меняется при прочих равных.</v>
      </c>
    </row>
    <row r="5" customFormat="false" ht="16.5" hidden="false" customHeight="true" outlineLevel="0" collapsed="false">
      <c r="B5" s="6" t="s">
        <v>515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customFormat="false" ht="14.25" hidden="false" customHeight="false" outlineLevel="0" collapsed="false">
      <c r="B6" s="7" t="s">
        <v>516</v>
      </c>
      <c r="C6" s="37" t="n">
        <v>0.2</v>
      </c>
      <c r="D6" s="15" t="s">
        <v>517</v>
      </c>
    </row>
    <row r="7" customFormat="false" ht="27.75" hidden="false" customHeight="true" outlineLevel="0" collapsed="false">
      <c r="B7" s="62" t="s">
        <v>518</v>
      </c>
      <c r="C7" s="55" t="s">
        <v>519</v>
      </c>
      <c r="D7" s="55" t="str">
        <f aca="false">"−"&amp;FIXED(Шаг_чувств*100,0)&amp;"%"</f>
        <v>−20%</v>
      </c>
      <c r="E7" s="55" t="s">
        <v>520</v>
      </c>
      <c r="F7" s="55" t="str">
        <f aca="false">"+"&amp;FIXED(Шаг_чувств*100,0)&amp;"%"</f>
        <v>+20%</v>
      </c>
      <c r="G7" s="55" t="s">
        <v>521</v>
      </c>
      <c r="H7" s="55" t="s">
        <v>522</v>
      </c>
      <c r="I7" s="55" t="s">
        <v>523</v>
      </c>
    </row>
    <row r="8" customFormat="false" ht="14.25" hidden="false" customHeight="false" outlineLevel="0" collapsed="false">
      <c r="B8" s="107" t="s">
        <v>524</v>
      </c>
      <c r="C8" s="149" t="n">
        <f aca="false">Выручка!$F$13</f>
        <v>20000</v>
      </c>
      <c r="D8" s="111" t="n">
        <f aca="false">Q85</f>
        <v>3907.74000000005</v>
      </c>
      <c r="E8" s="150" t="n">
        <f aca="false">Q84</f>
        <v>110635.14</v>
      </c>
      <c r="F8" s="111" t="n">
        <f aca="false">Q86</f>
        <v>216247</v>
      </c>
      <c r="G8" s="114" t="n">
        <f aca="false">D8-E8</f>
        <v>-106727.4</v>
      </c>
      <c r="H8" s="114" t="n">
        <f aca="false">F8-E8</f>
        <v>105611.86</v>
      </c>
      <c r="I8" s="111" t="n">
        <f aca="false">ABS(H8-G8)</f>
        <v>212339.26</v>
      </c>
    </row>
    <row r="9" customFormat="false" ht="14.25" hidden="false" customHeight="false" outlineLevel="0" collapsed="false">
      <c r="B9" s="107" t="s">
        <v>525</v>
      </c>
      <c r="C9" s="149" t="n">
        <f aca="false">Int_eCPM*Сц_eCPM</f>
        <v>150</v>
      </c>
      <c r="D9" s="111" t="n">
        <f aca="false">Q87</f>
        <v>83844.39</v>
      </c>
      <c r="E9" s="150" t="n">
        <f aca="false">Q84</f>
        <v>110635.14</v>
      </c>
      <c r="F9" s="111" t="n">
        <f aca="false">Q88</f>
        <v>137425.89</v>
      </c>
      <c r="G9" s="114" t="n">
        <f aca="false">D9-E9</f>
        <v>-26790.75</v>
      </c>
      <c r="H9" s="114" t="n">
        <f aca="false">F9-E9</f>
        <v>26790.75</v>
      </c>
      <c r="I9" s="111" t="n">
        <f aca="false">ABS(H9-G9)</f>
        <v>53581.5</v>
      </c>
    </row>
    <row r="10" customFormat="false" ht="14.25" hidden="false" customHeight="false" outlineLevel="0" collapsed="false">
      <c r="B10" s="107" t="s">
        <v>526</v>
      </c>
      <c r="C10" s="149" t="n">
        <f aca="false">Rew_eCPM*Сц_eCPM</f>
        <v>200</v>
      </c>
      <c r="D10" s="111" t="n">
        <f aca="false">Q89</f>
        <v>64562.3400000001</v>
      </c>
      <c r="E10" s="150" t="n">
        <f aca="false">Q84</f>
        <v>110635.14</v>
      </c>
      <c r="F10" s="111" t="n">
        <f aca="false">Q90</f>
        <v>156707.94</v>
      </c>
      <c r="G10" s="114" t="n">
        <f aca="false">D10-E10</f>
        <v>-46072.7999999999</v>
      </c>
      <c r="H10" s="114" t="n">
        <f aca="false">F10-E10</f>
        <v>46072.7999999999</v>
      </c>
      <c r="I10" s="111" t="n">
        <f aca="false">ABS(H10-G10)</f>
        <v>92145.5999999999</v>
      </c>
    </row>
    <row r="11" customFormat="false" ht="14.25" hidden="false" customHeight="false" outlineLevel="0" collapsed="false">
      <c r="B11" s="107" t="s">
        <v>527</v>
      </c>
      <c r="C11" s="151" t="n">
        <f aca="false">Выручка!$E$28</f>
        <v>0.0083375</v>
      </c>
      <c r="D11" s="111" t="n">
        <f aca="false">Q91</f>
        <v>67841.04</v>
      </c>
      <c r="E11" s="150" t="n">
        <f aca="false">Q84</f>
        <v>110635.14</v>
      </c>
      <c r="F11" s="111" t="n">
        <f aca="false">Q92</f>
        <v>152313.7</v>
      </c>
      <c r="G11" s="114" t="n">
        <f aca="false">D11-E11</f>
        <v>-42794.1</v>
      </c>
      <c r="H11" s="114" t="n">
        <f aca="false">F11-E11</f>
        <v>41678.5599999999</v>
      </c>
      <c r="I11" s="111" t="n">
        <f aca="false">ABS(H11-G11)</f>
        <v>84472.6599999999</v>
      </c>
    </row>
    <row r="12" customFormat="false" ht="14.25" hidden="false" customHeight="false" outlineLevel="0" collapsed="false">
      <c r="B12" s="107" t="s">
        <v>528</v>
      </c>
      <c r="C12" s="149" t="n">
        <f aca="false">Выручка!$E$30</f>
        <v>351.85</v>
      </c>
      <c r="D12" s="111" t="n">
        <f aca="false">Q93</f>
        <v>68441.412</v>
      </c>
      <c r="E12" s="150" t="n">
        <f aca="false">Q84</f>
        <v>110635.14</v>
      </c>
      <c r="F12" s="111" t="n">
        <f aca="false">Q94</f>
        <v>152828.868</v>
      </c>
      <c r="G12" s="114" t="n">
        <f aca="false">D12-E12</f>
        <v>-42193.728</v>
      </c>
      <c r="H12" s="114" t="n">
        <f aca="false">F12-E12</f>
        <v>42193.728</v>
      </c>
      <c r="I12" s="111" t="n">
        <f aca="false">ABS(H12-G12)</f>
        <v>84387.456</v>
      </c>
    </row>
    <row r="13" customFormat="false" ht="14.25" hidden="false" customHeight="false" outlineLevel="0" collapsed="false">
      <c r="B13" s="107" t="s">
        <v>529</v>
      </c>
      <c r="C13" s="149" t="n">
        <f aca="false">Сц_маркетинг</f>
        <v>30000</v>
      </c>
      <c r="D13" s="111" t="n">
        <f aca="false">Q95</f>
        <v>158635.14</v>
      </c>
      <c r="E13" s="150" t="n">
        <f aca="false">Q84</f>
        <v>110635.14</v>
      </c>
      <c r="F13" s="111" t="n">
        <f aca="false">Q96</f>
        <v>62635.14</v>
      </c>
      <c r="G13" s="114" t="n">
        <f aca="false">D13-E13</f>
        <v>48000</v>
      </c>
      <c r="H13" s="114" t="n">
        <f aca="false">F13-E13</f>
        <v>-48000</v>
      </c>
      <c r="I13" s="111" t="n">
        <f aca="false">ABS(H13-G13)</f>
        <v>96000</v>
      </c>
    </row>
    <row r="14" customFormat="false" ht="14.25" hidden="false" customHeight="false" outlineLevel="0" collapsed="false">
      <c r="B14" s="107" t="s">
        <v>530</v>
      </c>
      <c r="C14" s="149" t="n">
        <f aca="false">Бух_опер</f>
        <v>10000</v>
      </c>
      <c r="D14" s="111" t="n">
        <f aca="false">Q97</f>
        <v>128635.14</v>
      </c>
      <c r="E14" s="150" t="n">
        <f aca="false">Q84</f>
        <v>110635.14</v>
      </c>
      <c r="F14" s="111" t="n">
        <f aca="false">Q98</f>
        <v>92635.14</v>
      </c>
      <c r="G14" s="114" t="n">
        <f aca="false">D14-E14</f>
        <v>18000</v>
      </c>
      <c r="H14" s="114" t="n">
        <f aca="false">F14-E14</f>
        <v>-18000</v>
      </c>
      <c r="I14" s="111" t="n">
        <f aca="false">ABS(H14-G14)</f>
        <v>36000</v>
      </c>
    </row>
    <row r="15" customFormat="false" ht="14.25" hidden="false" customHeight="false" outlineLevel="0" collapsed="false">
      <c r="B15" s="15" t="s">
        <v>531</v>
      </c>
    </row>
    <row r="18" customFormat="false" ht="16.5" hidden="false" customHeight="true" outlineLevel="0" collapsed="false">
      <c r="B18" s="6" t="s">
        <v>532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customFormat="false" ht="14.25" hidden="false" customHeight="false" outlineLevel="0" collapsed="false">
      <c r="B19" s="15" t="s">
        <v>533</v>
      </c>
    </row>
    <row r="20" customFormat="false" ht="14.25" hidden="false" customHeight="false" outlineLevel="0" collapsed="false">
      <c r="B20" s="20" t="s">
        <v>534</v>
      </c>
      <c r="C20" s="152" t="n">
        <v>0.6</v>
      </c>
      <c r="D20" s="152" t="n">
        <v>0.8</v>
      </c>
      <c r="E20" s="152" t="n">
        <v>1</v>
      </c>
      <c r="F20" s="152" t="n">
        <v>1.2</v>
      </c>
      <c r="G20" s="152" t="n">
        <v>1.4</v>
      </c>
    </row>
    <row r="21" customFormat="false" ht="14.25" hidden="false" customHeight="false" outlineLevel="0" collapsed="false">
      <c r="B21" s="152" t="n">
        <v>0.6</v>
      </c>
      <c r="C21" s="50" t="n">
        <f aca="false">Q99</f>
        <v>-189148.88</v>
      </c>
      <c r="D21" s="50" t="n">
        <f aca="false">Q100</f>
        <v>-145430.75</v>
      </c>
      <c r="E21" s="50" t="n">
        <f aca="false">Q101</f>
        <v>-101712.62</v>
      </c>
      <c r="F21" s="50" t="n">
        <f aca="false">Q102</f>
        <v>-57994.4900000001</v>
      </c>
      <c r="G21" s="50" t="n">
        <f aca="false">Q103</f>
        <v>-14276.36</v>
      </c>
    </row>
    <row r="22" customFormat="false" ht="14.25" hidden="false" customHeight="false" outlineLevel="0" collapsed="false">
      <c r="B22" s="152" t="n">
        <v>0.8</v>
      </c>
      <c r="C22" s="50" t="n">
        <f aca="false">Q104</f>
        <v>-112673.94</v>
      </c>
      <c r="D22" s="50" t="n">
        <f aca="false">Q105</f>
        <v>-54383.1</v>
      </c>
      <c r="E22" s="50" t="n">
        <f aca="false">Q106</f>
        <v>3907.74000000005</v>
      </c>
      <c r="F22" s="50" t="n">
        <f aca="false">Q107</f>
        <v>62198.5800000001</v>
      </c>
      <c r="G22" s="50" t="n">
        <f aca="false">Q108</f>
        <v>120489.42</v>
      </c>
    </row>
    <row r="23" customFormat="false" ht="14.25" hidden="false" customHeight="false" outlineLevel="0" collapsed="false">
      <c r="B23" s="152" t="n">
        <v>1</v>
      </c>
      <c r="C23" s="50" t="n">
        <f aca="false">Q109</f>
        <v>-35091.96</v>
      </c>
      <c r="D23" s="50" t="n">
        <f aca="false">Q110</f>
        <v>37771.5900000001</v>
      </c>
      <c r="E23" s="50" t="n">
        <f aca="false">Q111</f>
        <v>110635.14</v>
      </c>
      <c r="F23" s="50" t="n">
        <f aca="false">Q112</f>
        <v>183498.69</v>
      </c>
      <c r="G23" s="50" t="n">
        <f aca="false">Q113</f>
        <v>256362.24</v>
      </c>
    </row>
    <row r="24" customFormat="false" ht="14.25" hidden="false" customHeight="false" outlineLevel="0" collapsed="false">
      <c r="B24" s="152" t="n">
        <v>1.2</v>
      </c>
      <c r="C24" s="50" t="n">
        <f aca="false">Q114</f>
        <v>41374.48</v>
      </c>
      <c r="D24" s="50" t="n">
        <f aca="false">Q115</f>
        <v>128810.74</v>
      </c>
      <c r="E24" s="50" t="n">
        <f aca="false">Q116</f>
        <v>216247</v>
      </c>
      <c r="F24" s="50" t="n">
        <f aca="false">Q117</f>
        <v>303683.26</v>
      </c>
      <c r="G24" s="50" t="n">
        <f aca="false">Q118</f>
        <v>390562.3708</v>
      </c>
    </row>
    <row r="25" customFormat="false" ht="14.25" hidden="false" customHeight="false" outlineLevel="0" collapsed="false">
      <c r="B25" s="152" t="n">
        <v>1.4</v>
      </c>
      <c r="C25" s="50" t="n">
        <f aca="false">Q119</f>
        <v>118134.68</v>
      </c>
      <c r="D25" s="50" t="n">
        <f aca="false">Q120</f>
        <v>220143.65</v>
      </c>
      <c r="E25" s="50" t="n">
        <f aca="false">Q121</f>
        <v>322152.62</v>
      </c>
      <c r="F25" s="50" t="n">
        <f aca="false">Q122</f>
        <v>420641.6888</v>
      </c>
      <c r="G25" s="50" t="n">
        <f aca="false">Q123</f>
        <v>516530.1206</v>
      </c>
    </row>
    <row r="26" customFormat="false" ht="14.25" hidden="false" customHeight="false" outlineLevel="0" collapsed="false">
      <c r="B26" s="15" t="s">
        <v>535</v>
      </c>
    </row>
    <row r="28" customFormat="false" ht="16.5" hidden="false" customHeight="true" outlineLevel="0" collapsed="false">
      <c r="B28" s="6" t="s">
        <v>536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customFormat="false" ht="14.25" hidden="false" customHeight="false" outlineLevel="0" collapsed="false">
      <c r="B29" s="15" t="s">
        <v>537</v>
      </c>
    </row>
    <row r="30" customFormat="false" ht="14.25" hidden="false" customHeight="false" outlineLevel="0" collapsed="false">
      <c r="B30" s="62" t="s">
        <v>538</v>
      </c>
      <c r="C30" s="153" t="n">
        <v>1</v>
      </c>
      <c r="D30" s="153" t="n">
        <v>0.75</v>
      </c>
      <c r="E30" s="153" t="n">
        <v>0.5</v>
      </c>
      <c r="F30" s="153" t="n">
        <v>0.3</v>
      </c>
      <c r="G30" s="153" t="n">
        <v>0.2</v>
      </c>
    </row>
    <row r="31" customFormat="false" ht="14.25" hidden="false" customHeight="false" outlineLevel="0" collapsed="false">
      <c r="B31" s="8" t="s">
        <v>539</v>
      </c>
      <c r="C31" s="50" t="n">
        <f aca="false">O124</f>
        <v>1462590.9</v>
      </c>
      <c r="D31" s="50" t="n">
        <f aca="false">O125</f>
        <v>1158992.775</v>
      </c>
      <c r="E31" s="50" t="n">
        <f aca="false">O126</f>
        <v>855394.65</v>
      </c>
      <c r="F31" s="50" t="n">
        <f aca="false">O127</f>
        <v>612516.15</v>
      </c>
      <c r="G31" s="50" t="n">
        <f aca="false">O128</f>
        <v>491076.9</v>
      </c>
    </row>
    <row r="32" customFormat="false" ht="14.25" hidden="false" customHeight="false" outlineLevel="0" collapsed="false">
      <c r="B32" s="7" t="s">
        <v>540</v>
      </c>
      <c r="C32" s="154" t="n">
        <f aca="false">Q124</f>
        <v>822768.186</v>
      </c>
      <c r="D32" s="154" t="n">
        <f aca="false">Q125</f>
        <v>574595.3235</v>
      </c>
      <c r="E32" s="154" t="n">
        <f aca="false">Q126</f>
        <v>323746.14</v>
      </c>
      <c r="F32" s="154" t="n">
        <f aca="false">Q127</f>
        <v>110635.14</v>
      </c>
      <c r="G32" s="154" t="n">
        <f aca="false">Q128</f>
        <v>4079.64000000007</v>
      </c>
    </row>
    <row r="33" customFormat="false" ht="14.25" hidden="false" customHeight="false" outlineLevel="0" collapsed="false">
      <c r="B33" s="8" t="s">
        <v>541</v>
      </c>
      <c r="C33" s="50" t="n">
        <f aca="false">IFERROR(Пост_расходы/((ARPU_int+ARPU_rew)*IFERROR(C$30/DAU_MAU,0)+ARPU_iap),0)</f>
        <v>2450.91288121438</v>
      </c>
      <c r="D33" s="50" t="n">
        <f aca="false">IFERROR(Пост_расходы/((ARPU_int+ARPU_rew)*IFERROR(D$30/DAU_MAU,0)+ARPU_iap),0)</f>
        <v>3129.30130782282</v>
      </c>
      <c r="E33" s="50" t="n">
        <f aca="false">IFERROR(Пост_расходы/((ARPU_int+ARPU_rew)*IFERROR(E$30/DAU_MAU,0)+ARPU_iap),0)</f>
        <v>4326.96139374225</v>
      </c>
      <c r="F33" s="50" t="n">
        <f aca="false">IFERROR(Пост_расходы/((ARPU_int+ARPU_rew)*IFERROR(F$30/DAU_MAU,0)+ARPU_iap),0)</f>
        <v>6236.42816914446</v>
      </c>
      <c r="G33" s="50" t="n">
        <f aca="false">IFERROR(Пост_расходы/((ARPU_int+ARPU_rew)*IFERROR(G$30/DAU_MAU,0)+ARPU_iap),0)</f>
        <v>8002.06388013891</v>
      </c>
    </row>
    <row r="69" customFormat="false" ht="16.5" hidden="false" customHeight="true" outlineLevel="1" collapsed="false">
      <c r="B69" s="6" t="s">
        <v>542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customFormat="false" ht="14.25" hidden="false" customHeight="false" outlineLevel="1" collapsed="false">
      <c r="B70" s="26" t="s">
        <v>543</v>
      </c>
      <c r="D70" s="155" t="n">
        <f aca="false">YEAR(Дата_начала)</f>
        <v>2026</v>
      </c>
    </row>
    <row r="71" customFormat="false" ht="14.25" hidden="false" customHeight="false" outlineLevel="1" collapsed="false">
      <c r="B71" s="26" t="s">
        <v>544</v>
      </c>
      <c r="D71" s="155" t="n">
        <f aca="false">D70+1</f>
        <v>2027</v>
      </c>
    </row>
    <row r="72" customFormat="false" ht="14.25" hidden="false" customHeight="false" outlineLevel="1" collapsed="false">
      <c r="B72" s="26" t="s">
        <v>545</v>
      </c>
      <c r="D72" s="156" t="n">
        <f aca="false">SUM(Выручка!$H$19:$S$19)</f>
        <v>133953.75</v>
      </c>
    </row>
    <row r="73" customFormat="false" ht="14.25" hidden="false" customHeight="false" outlineLevel="1" collapsed="false">
      <c r="B73" s="26" t="s">
        <v>546</v>
      </c>
      <c r="D73" s="156" t="n">
        <f aca="false">SUM(Выручка!$H$25:$S$25)</f>
        <v>230364</v>
      </c>
    </row>
    <row r="74" customFormat="false" ht="14.25" hidden="false" customHeight="false" outlineLevel="1" collapsed="false">
      <c r="B74" s="26" t="s">
        <v>547</v>
      </c>
      <c r="D74" s="156" t="n">
        <f aca="false">SUMPRODUCT((YEAR(DATE(YEAR(Выручка!$H$7:$S$7),MONTH(Выручка!$H$7:$S$7)+Лаг_выручки,1))=D70)*(Выручка!$H$6:$S$6+Лаг_выручки&lt;=12)*Выручка!$H$19:$S$19)</f>
        <v>0</v>
      </c>
    </row>
    <row r="75" customFormat="false" ht="14.25" hidden="false" customHeight="false" outlineLevel="1" collapsed="false">
      <c r="B75" s="26" t="s">
        <v>548</v>
      </c>
      <c r="D75" s="156" t="n">
        <f aca="false">SUMPRODUCT((YEAR(DATE(YEAR(Выручка!$H$7:$S$7),MONTH(Выручка!$H$7:$S$7)+Лаг_выручки,1))=D71)*(Выручка!$H$6:$S$6+Лаг_выручки&lt;=12)*Выручка!$H$19:$S$19)</f>
        <v>133953.75</v>
      </c>
    </row>
    <row r="76" customFormat="false" ht="14.25" hidden="false" customHeight="false" outlineLevel="1" collapsed="false">
      <c r="B76" s="26" t="s">
        <v>549</v>
      </c>
      <c r="D76" s="156" t="n">
        <f aca="false">SUMPRODUCT((YEAR(DATE(YEAR(Выручка!$H$7:$S$7),MONTH(Выручка!$H$7:$S$7)+Лаг_выручки,1))=D70)*(Выручка!$H$6:$S$6+Лаг_выручки&lt;=12)*Выручка!$H$25:$S$25)</f>
        <v>0</v>
      </c>
    </row>
    <row r="77" customFormat="false" ht="14.25" hidden="false" customHeight="false" outlineLevel="1" collapsed="false">
      <c r="B77" s="26" t="s">
        <v>550</v>
      </c>
      <c r="D77" s="156" t="n">
        <f aca="false">SUMPRODUCT((YEAR(DATE(YEAR(Выручка!$H$7:$S$7),MONTH(Выручка!$H$7:$S$7)+Лаг_выручки,1))=D71)*(Выручка!$H$6:$S$6+Лаг_выручки&lt;=12)*Выручка!$H$25:$S$25)</f>
        <v>230364</v>
      </c>
    </row>
    <row r="78" customFormat="false" ht="14.25" hidden="false" customHeight="false" outlineLevel="1" collapsed="false">
      <c r="B78" s="26" t="s">
        <v>551</v>
      </c>
      <c r="D78" s="156" t="n">
        <f aca="false">Расходы!$F$16</f>
        <v>464651.25</v>
      </c>
    </row>
    <row r="79" customFormat="false" ht="14.25" hidden="false" customHeight="false" outlineLevel="1" collapsed="false">
      <c r="B79" s="26" t="s">
        <v>552</v>
      </c>
      <c r="D79" s="156" t="n">
        <f aca="false">Расходы!$E$15</f>
        <v>240000</v>
      </c>
    </row>
    <row r="80" customFormat="false" ht="14.25" hidden="false" customHeight="false" outlineLevel="1" collapsed="false">
      <c r="B80" s="26" t="s">
        <v>553</v>
      </c>
      <c r="D80" s="156" t="n">
        <f aca="false">Расходы!$F$14</f>
        <v>90000</v>
      </c>
    </row>
    <row r="81" customFormat="false" ht="14.25" hidden="true" customHeight="false" outlineLevel="1" collapsed="false">
      <c r="B81" s="26" t="s">
        <v>554</v>
      </c>
      <c r="D81" s="156" t="n">
        <f aca="false">0</f>
        <v>0</v>
      </c>
    </row>
    <row r="82" customFormat="false" ht="14.25" hidden="false" customHeight="false" outlineLevel="1" collapsed="false"/>
    <row r="83" customFormat="false" ht="14.25" hidden="false" customHeight="false" outlineLevel="1" collapsed="false">
      <c r="B83" s="20" t="s">
        <v>555</v>
      </c>
      <c r="C83" s="20" t="s">
        <v>556</v>
      </c>
      <c r="D83" s="20" t="s">
        <v>557</v>
      </c>
      <c r="E83" s="20" t="s">
        <v>558</v>
      </c>
      <c r="F83" s="20" t="s">
        <v>559</v>
      </c>
      <c r="G83" s="20" t="s">
        <v>560</v>
      </c>
      <c r="H83" s="20" t="s">
        <v>561</v>
      </c>
      <c r="I83" s="20" t="s">
        <v>488</v>
      </c>
      <c r="J83" s="20" t="s">
        <v>54</v>
      </c>
      <c r="K83" s="20" t="s">
        <v>562</v>
      </c>
      <c r="L83" s="20" t="s">
        <v>563</v>
      </c>
      <c r="M83" s="20" t="s">
        <v>564</v>
      </c>
      <c r="N83" s="20" t="s">
        <v>565</v>
      </c>
      <c r="O83" s="20" t="s">
        <v>295</v>
      </c>
      <c r="P83" s="20" t="s">
        <v>566</v>
      </c>
      <c r="Q83" s="20" t="s">
        <v>12</v>
      </c>
    </row>
    <row r="84" customFormat="false" ht="14.25" hidden="false" customHeight="false" outlineLevel="1" collapsed="false">
      <c r="B84" s="26" t="s">
        <v>567</v>
      </c>
      <c r="C84" s="157" t="n">
        <f aca="false">1</f>
        <v>1</v>
      </c>
      <c r="D84" s="157" t="n">
        <f aca="false">1</f>
        <v>1</v>
      </c>
      <c r="E84" s="157" t="n">
        <f aca="false">1</f>
        <v>1</v>
      </c>
      <c r="F84" s="157" t="n">
        <f aca="false">1</f>
        <v>1</v>
      </c>
      <c r="G84" s="157" t="n">
        <f aca="false">1</f>
        <v>1</v>
      </c>
      <c r="H84" s="156" t="n">
        <f aca="false">0+(C84-1)*Энергия!$F$39</f>
        <v>0</v>
      </c>
      <c r="I84" s="156" t="n">
        <f aca="false">C84*(D84*$D$72+E84*$D$73)</f>
        <v>364317.75</v>
      </c>
      <c r="J84" s="156" t="n">
        <f aca="false">G84*SUMPRODUCT(ROUND((Выручка!$H$13:$S$13*C84)*(Выручка!$H$28:$S$28*F84),0)*Выручка!$H$30:$S$30)</f>
        <v>248198.4</v>
      </c>
      <c r="K84" s="156" t="n">
        <f aca="false">C84*(D84*$D$74+E84*$D$76)+G84*SUMPRODUCT((YEAR(DATE(YEAR(Выручка!$H$7:$S$7),MONTH(Выручка!$H$7:$S$7)+Лаг_выручки,1))=$D$70)*(Выручка!$H$6:$S$6+Лаг_выручки&lt;=12)*ROUND((Выручка!$H$13:$S$13*C84)*(Выручка!$H$28:$S$28*F84),0)*Выручка!$H$30:$S$30)</f>
        <v>0</v>
      </c>
      <c r="L84" s="156" t="n">
        <f aca="false">C84*(D84*$D$75+E84*$D$77)+G84*SUMPRODUCT((YEAR(DATE(YEAR(Выручка!$H$7:$S$7),MONTH(Выручка!$H$7:$S$7)+Лаг_выручки,1))=$D$71)*(Выручка!$H$6:$S$6+Лаг_выручки&lt;=12)*ROUND((Выручка!$H$13:$S$13*C84)*(Выручка!$H$28:$S$28*F84),0)*Выручка!$H$30:$S$30)</f>
        <v>612516.15</v>
      </c>
      <c r="M84" s="156" t="n">
        <f aca="false">MAX(0,Ставка_УСН*K84-MIN(Взносы_вычет,Лимит_вычета*Ставка_УСН*K84))</f>
        <v>0</v>
      </c>
      <c r="N84" s="156" t="n">
        <f aca="false">MAX(0,Ставка_УСН*L84-MIN(Взносы_вычет,Лимит_вычета*Ставка_УСН*L84))</f>
        <v>0</v>
      </c>
      <c r="O84" s="156" t="n">
        <f aca="false">I84+J84</f>
        <v>612516.15</v>
      </c>
      <c r="P84" s="156" t="n">
        <f aca="false">Комиссия_стора*J84</f>
        <v>37229.76</v>
      </c>
      <c r="Q84" s="36" t="n">
        <f aca="false">O84-P84-($D$78+H84)-$D$81-M84-N84</f>
        <v>110635.14</v>
      </c>
    </row>
    <row r="85" customFormat="false" ht="14.25" hidden="false" customHeight="false" outlineLevel="1" collapsed="false">
      <c r="B85" s="26" t="s">
        <v>568</v>
      </c>
      <c r="C85" s="157" t="n">
        <f aca="false">1-Шаг_чувств</f>
        <v>0.8</v>
      </c>
      <c r="D85" s="157" t="n">
        <f aca="false">1</f>
        <v>1</v>
      </c>
      <c r="E85" s="157" t="n">
        <f aca="false">1</f>
        <v>1</v>
      </c>
      <c r="F85" s="157" t="n">
        <f aca="false">1</f>
        <v>1</v>
      </c>
      <c r="G85" s="157" t="n">
        <f aca="false">1</f>
        <v>1</v>
      </c>
      <c r="H85" s="156" t="n">
        <f aca="false">0+(C85-1)*Энергия!$F$39</f>
        <v>-8930.25</v>
      </c>
      <c r="I85" s="156" t="n">
        <f aca="false">C85*(D85*$D$72+E85*$D$73)</f>
        <v>291454.2</v>
      </c>
      <c r="J85" s="156" t="n">
        <f aca="false">G85*SUMPRODUCT(ROUND((Выручка!$H$13:$S$13*C85)*(Выручка!$H$28:$S$28*F85),0)*Выручка!$H$30:$S$30)</f>
        <v>197852.4</v>
      </c>
      <c r="K85" s="156" t="n">
        <f aca="false">C85*(D85*$D$74+E85*$D$76)+G85*SUMPRODUCT((YEAR(DATE(YEAR(Выручка!$H$7:$S$7),MONTH(Выручка!$H$7:$S$7)+Лаг_выручки,1))=$D$70)*(Выручка!$H$6:$S$6+Лаг_выручки&lt;=12)*ROUND((Выручка!$H$13:$S$13*C85)*(Выручка!$H$28:$S$28*F85),0)*Выручка!$H$30:$S$30)</f>
        <v>0</v>
      </c>
      <c r="L85" s="156" t="n">
        <f aca="false">C85*(D85*$D$75+E85*$D$77)+G85*SUMPRODUCT((YEAR(DATE(YEAR(Выручка!$H$7:$S$7),MONTH(Выручка!$H$7:$S$7)+Лаг_выручки,1))=$D$71)*(Выручка!$H$6:$S$6+Лаг_выручки&lt;=12)*ROUND((Выручка!$H$13:$S$13*C85)*(Выручка!$H$28:$S$28*F85),0)*Выручка!$H$30:$S$30)</f>
        <v>489306.6</v>
      </c>
      <c r="M85" s="156" t="n">
        <f aca="false">MAX(0,Ставка_УСН*K85-MIN(Взносы_вычет,Лимит_вычета*Ставка_УСН*K85))</f>
        <v>0</v>
      </c>
      <c r="N85" s="156" t="n">
        <f aca="false">MAX(0,Ставка_УСН*L85-MIN(Взносы_вычет,Лимит_вычета*Ставка_УСН*L85))</f>
        <v>0</v>
      </c>
      <c r="O85" s="156" t="n">
        <f aca="false">I85+J85</f>
        <v>489306.6</v>
      </c>
      <c r="P85" s="156" t="n">
        <f aca="false">Комиссия_стора*J85</f>
        <v>29677.86</v>
      </c>
      <c r="Q85" s="36" t="n">
        <f aca="false">O85-P85-($D$78+H85)-$D$81-M85-N85</f>
        <v>3907.74000000005</v>
      </c>
    </row>
    <row r="86" customFormat="false" ht="14.25" hidden="false" customHeight="false" outlineLevel="1" collapsed="false">
      <c r="B86" s="26" t="s">
        <v>569</v>
      </c>
      <c r="C86" s="157" t="n">
        <f aca="false">1+Шаг_чувств</f>
        <v>1.2</v>
      </c>
      <c r="D86" s="157" t="n">
        <f aca="false">1</f>
        <v>1</v>
      </c>
      <c r="E86" s="157" t="n">
        <f aca="false">1</f>
        <v>1</v>
      </c>
      <c r="F86" s="157" t="n">
        <f aca="false">1</f>
        <v>1</v>
      </c>
      <c r="G86" s="157" t="n">
        <f aca="false">1</f>
        <v>1</v>
      </c>
      <c r="H86" s="156" t="n">
        <f aca="false">0+(C86-1)*Энергия!$F$39</f>
        <v>8930.25</v>
      </c>
      <c r="I86" s="156" t="n">
        <f aca="false">C86*(D86*$D$72+E86*$D$73)</f>
        <v>437181.3</v>
      </c>
      <c r="J86" s="156" t="n">
        <f aca="false">G86*SUMPRODUCT(ROUND((Выручка!$H$13:$S$13*C86)*(Выручка!$H$28:$S$28*F86),0)*Выручка!$H$30:$S$30)</f>
        <v>297232</v>
      </c>
      <c r="K86" s="156" t="n">
        <f aca="false">C86*(D86*$D$74+E86*$D$76)+G86*SUMPRODUCT((YEAR(DATE(YEAR(Выручка!$H$7:$S$7),MONTH(Выручка!$H$7:$S$7)+Лаг_выручки,1))=$D$70)*(Выручка!$H$6:$S$6+Лаг_выручки&lt;=12)*ROUND((Выручка!$H$13:$S$13*C86)*(Выручка!$H$28:$S$28*F86),0)*Выручка!$H$30:$S$30)</f>
        <v>0</v>
      </c>
      <c r="L86" s="156" t="n">
        <f aca="false">C86*(D86*$D$75+E86*$D$77)+G86*SUMPRODUCT((YEAR(DATE(YEAR(Выручка!$H$7:$S$7),MONTH(Выручка!$H$7:$S$7)+Лаг_выручки,1))=$D$71)*(Выручка!$H$6:$S$6+Лаг_выручки&lt;=12)*ROUND((Выручка!$H$13:$S$13*C86)*(Выручка!$H$28:$S$28*F86),0)*Выручка!$H$30:$S$30)</f>
        <v>734413.3</v>
      </c>
      <c r="M86" s="156" t="n">
        <f aca="false">MAX(0,Ставка_УСН*K86-MIN(Взносы_вычет,Лимит_вычета*Ставка_УСН*K86))</f>
        <v>0</v>
      </c>
      <c r="N86" s="156" t="n">
        <f aca="false">MAX(0,Ставка_УСН*L86-MIN(Взносы_вычет,Лимит_вычета*Ставка_УСН*L86))</f>
        <v>0</v>
      </c>
      <c r="O86" s="156" t="n">
        <f aca="false">I86+J86</f>
        <v>734413.3</v>
      </c>
      <c r="P86" s="156" t="n">
        <f aca="false">Комиссия_стора*J86</f>
        <v>44584.8</v>
      </c>
      <c r="Q86" s="36" t="n">
        <f aca="false">O86-P86-($D$78+H86)-$D$81-M86-N86</f>
        <v>216247</v>
      </c>
    </row>
    <row r="87" customFormat="false" ht="14.25" hidden="false" customHeight="false" outlineLevel="1" collapsed="false">
      <c r="B87" s="26" t="s">
        <v>570</v>
      </c>
      <c r="C87" s="157" t="n">
        <f aca="false">1</f>
        <v>1</v>
      </c>
      <c r="D87" s="157" t="n">
        <f aca="false">1-Шаг_чувств</f>
        <v>0.8</v>
      </c>
      <c r="E87" s="157" t="n">
        <f aca="false">1</f>
        <v>1</v>
      </c>
      <c r="F87" s="157" t="n">
        <f aca="false">1</f>
        <v>1</v>
      </c>
      <c r="G87" s="157" t="n">
        <f aca="false">1</f>
        <v>1</v>
      </c>
      <c r="H87" s="156" t="n">
        <f aca="false">0+(C87-1)*Энергия!$F$39</f>
        <v>0</v>
      </c>
      <c r="I87" s="156" t="n">
        <f aca="false">C87*(D87*$D$72+E87*$D$73)</f>
        <v>337527</v>
      </c>
      <c r="J87" s="156" t="n">
        <f aca="false">G87*SUMPRODUCT(ROUND((Выручка!$H$13:$S$13*C87)*(Выручка!$H$28:$S$28*F87),0)*Выручка!$H$30:$S$30)</f>
        <v>248198.4</v>
      </c>
      <c r="K87" s="156" t="n">
        <f aca="false">C87*(D87*$D$74+E87*$D$76)+G87*SUMPRODUCT((YEAR(DATE(YEAR(Выручка!$H$7:$S$7),MONTH(Выручка!$H$7:$S$7)+Лаг_выручки,1))=$D$70)*(Выручка!$H$6:$S$6+Лаг_выручки&lt;=12)*ROUND((Выручка!$H$13:$S$13*C87)*(Выручка!$H$28:$S$28*F87),0)*Выручка!$H$30:$S$30)</f>
        <v>0</v>
      </c>
      <c r="L87" s="156" t="n">
        <f aca="false">C87*(D87*$D$75+E87*$D$77)+G87*SUMPRODUCT((YEAR(DATE(YEAR(Выручка!$H$7:$S$7),MONTH(Выручка!$H$7:$S$7)+Лаг_выручки,1))=$D$71)*(Выручка!$H$6:$S$6+Лаг_выручки&lt;=12)*ROUND((Выручка!$H$13:$S$13*C87)*(Выручка!$H$28:$S$28*F87),0)*Выручка!$H$30:$S$30)</f>
        <v>585725.4</v>
      </c>
      <c r="M87" s="156" t="n">
        <f aca="false">MAX(0,Ставка_УСН*K87-MIN(Взносы_вычет,Лимит_вычета*Ставка_УСН*K87))</f>
        <v>0</v>
      </c>
      <c r="N87" s="156" t="n">
        <f aca="false">MAX(0,Ставка_УСН*L87-MIN(Взносы_вычет,Лимит_вычета*Ставка_УСН*L87))</f>
        <v>0</v>
      </c>
      <c r="O87" s="156" t="n">
        <f aca="false">I87+J87</f>
        <v>585725.4</v>
      </c>
      <c r="P87" s="156" t="n">
        <f aca="false">Комиссия_стора*J87</f>
        <v>37229.76</v>
      </c>
      <c r="Q87" s="36" t="n">
        <f aca="false">O87-P87-($D$78+H87)-$D$81-M87-N87</f>
        <v>83844.39</v>
      </c>
    </row>
    <row r="88" customFormat="false" ht="14.25" hidden="false" customHeight="false" outlineLevel="1" collapsed="false">
      <c r="B88" s="26" t="s">
        <v>571</v>
      </c>
      <c r="C88" s="157" t="n">
        <f aca="false">1</f>
        <v>1</v>
      </c>
      <c r="D88" s="157" t="n">
        <f aca="false">1+Шаг_чувств</f>
        <v>1.2</v>
      </c>
      <c r="E88" s="157" t="n">
        <f aca="false">1</f>
        <v>1</v>
      </c>
      <c r="F88" s="157" t="n">
        <f aca="false">1</f>
        <v>1</v>
      </c>
      <c r="G88" s="157" t="n">
        <f aca="false">1</f>
        <v>1</v>
      </c>
      <c r="H88" s="156" t="n">
        <f aca="false">0+(C88-1)*Энергия!$F$39</f>
        <v>0</v>
      </c>
      <c r="I88" s="156" t="n">
        <f aca="false">C88*(D88*$D$72+E88*$D$73)</f>
        <v>391108.5</v>
      </c>
      <c r="J88" s="156" t="n">
        <f aca="false">G88*SUMPRODUCT(ROUND((Выручка!$H$13:$S$13*C88)*(Выручка!$H$28:$S$28*F88),0)*Выручка!$H$30:$S$30)</f>
        <v>248198.4</v>
      </c>
      <c r="K88" s="156" t="n">
        <f aca="false">C88*(D88*$D$74+E88*$D$76)+G88*SUMPRODUCT((YEAR(DATE(YEAR(Выручка!$H$7:$S$7),MONTH(Выручка!$H$7:$S$7)+Лаг_выручки,1))=$D$70)*(Выручка!$H$6:$S$6+Лаг_выручки&lt;=12)*ROUND((Выручка!$H$13:$S$13*C88)*(Выручка!$H$28:$S$28*F88),0)*Выручка!$H$30:$S$30)</f>
        <v>0</v>
      </c>
      <c r="L88" s="156" t="n">
        <f aca="false">C88*(D88*$D$75+E88*$D$77)+G88*SUMPRODUCT((YEAR(DATE(YEAR(Выручка!$H$7:$S$7),MONTH(Выручка!$H$7:$S$7)+Лаг_выручки,1))=$D$71)*(Выручка!$H$6:$S$6+Лаг_выручки&lt;=12)*ROUND((Выручка!$H$13:$S$13*C88)*(Выручка!$H$28:$S$28*F88),0)*Выручка!$H$30:$S$30)</f>
        <v>639306.9</v>
      </c>
      <c r="M88" s="156" t="n">
        <f aca="false">MAX(0,Ставка_УСН*K88-MIN(Взносы_вычет,Лимит_вычета*Ставка_УСН*K88))</f>
        <v>0</v>
      </c>
      <c r="N88" s="156" t="n">
        <f aca="false">MAX(0,Ставка_УСН*L88-MIN(Взносы_вычет,Лимит_вычета*Ставка_УСН*L88))</f>
        <v>0</v>
      </c>
      <c r="O88" s="156" t="n">
        <f aca="false">I88+J88</f>
        <v>639306.9</v>
      </c>
      <c r="P88" s="156" t="n">
        <f aca="false">Комиссия_стора*J88</f>
        <v>37229.76</v>
      </c>
      <c r="Q88" s="36" t="n">
        <f aca="false">O88-P88-($D$78+H88)-$D$81-M88-N88</f>
        <v>137425.89</v>
      </c>
    </row>
    <row r="89" customFormat="false" ht="14.25" hidden="false" customHeight="false" outlineLevel="1" collapsed="false">
      <c r="B89" s="26" t="s">
        <v>572</v>
      </c>
      <c r="C89" s="157" t="n">
        <f aca="false">1</f>
        <v>1</v>
      </c>
      <c r="D89" s="157" t="n">
        <f aca="false">1</f>
        <v>1</v>
      </c>
      <c r="E89" s="157" t="n">
        <f aca="false">1-Шаг_чувств</f>
        <v>0.8</v>
      </c>
      <c r="F89" s="157" t="n">
        <f aca="false">1</f>
        <v>1</v>
      </c>
      <c r="G89" s="157" t="n">
        <f aca="false">1</f>
        <v>1</v>
      </c>
      <c r="H89" s="156" t="n">
        <f aca="false">0+(C89-1)*Энергия!$F$39</f>
        <v>0</v>
      </c>
      <c r="I89" s="156" t="n">
        <f aca="false">C89*(D89*$D$72+E89*$D$73)</f>
        <v>318244.95</v>
      </c>
      <c r="J89" s="156" t="n">
        <f aca="false">G89*SUMPRODUCT(ROUND((Выручка!$H$13:$S$13*C89)*(Выручка!$H$28:$S$28*F89),0)*Выручка!$H$30:$S$30)</f>
        <v>248198.4</v>
      </c>
      <c r="K89" s="156" t="n">
        <f aca="false">C89*(D89*$D$74+E89*$D$76)+G89*SUMPRODUCT((YEAR(DATE(YEAR(Выручка!$H$7:$S$7),MONTH(Выручка!$H$7:$S$7)+Лаг_выручки,1))=$D$70)*(Выручка!$H$6:$S$6+Лаг_выручки&lt;=12)*ROUND((Выручка!$H$13:$S$13*C89)*(Выручка!$H$28:$S$28*F89),0)*Выручка!$H$30:$S$30)</f>
        <v>0</v>
      </c>
      <c r="L89" s="156" t="n">
        <f aca="false">C89*(D89*$D$75+E89*$D$77)+G89*SUMPRODUCT((YEAR(DATE(YEAR(Выручка!$H$7:$S$7),MONTH(Выручка!$H$7:$S$7)+Лаг_выручки,1))=$D$71)*(Выручка!$H$6:$S$6+Лаг_выручки&lt;=12)*ROUND((Выручка!$H$13:$S$13*C89)*(Выручка!$H$28:$S$28*F89),0)*Выручка!$H$30:$S$30)</f>
        <v>566443.35</v>
      </c>
      <c r="M89" s="156" t="n">
        <f aca="false">MAX(0,Ставка_УСН*K89-MIN(Взносы_вычет,Лимит_вычета*Ставка_УСН*K89))</f>
        <v>0</v>
      </c>
      <c r="N89" s="156" t="n">
        <f aca="false">MAX(0,Ставка_УСН*L89-MIN(Взносы_вычет,Лимит_вычета*Ставка_УСН*L89))</f>
        <v>0</v>
      </c>
      <c r="O89" s="156" t="n">
        <f aca="false">I89+J89</f>
        <v>566443.35</v>
      </c>
      <c r="P89" s="156" t="n">
        <f aca="false">Комиссия_стора*J89</f>
        <v>37229.76</v>
      </c>
      <c r="Q89" s="36" t="n">
        <f aca="false">O89-P89-($D$78+H89)-$D$81-M89-N89</f>
        <v>64562.3400000001</v>
      </c>
    </row>
    <row r="90" customFormat="false" ht="14.25" hidden="false" customHeight="false" outlineLevel="1" collapsed="false">
      <c r="B90" s="26" t="s">
        <v>573</v>
      </c>
      <c r="C90" s="157" t="n">
        <f aca="false">1</f>
        <v>1</v>
      </c>
      <c r="D90" s="157" t="n">
        <f aca="false">1</f>
        <v>1</v>
      </c>
      <c r="E90" s="157" t="n">
        <f aca="false">1+Шаг_чувств</f>
        <v>1.2</v>
      </c>
      <c r="F90" s="157" t="n">
        <f aca="false">1</f>
        <v>1</v>
      </c>
      <c r="G90" s="157" t="n">
        <f aca="false">1</f>
        <v>1</v>
      </c>
      <c r="H90" s="156" t="n">
        <f aca="false">0+(C90-1)*Энергия!$F$39</f>
        <v>0</v>
      </c>
      <c r="I90" s="156" t="n">
        <f aca="false">C90*(D90*$D$72+E90*$D$73)</f>
        <v>410390.55</v>
      </c>
      <c r="J90" s="156" t="n">
        <f aca="false">G90*SUMPRODUCT(ROUND((Выручка!$H$13:$S$13*C90)*(Выручка!$H$28:$S$28*F90),0)*Выручка!$H$30:$S$30)</f>
        <v>248198.4</v>
      </c>
      <c r="K90" s="156" t="n">
        <f aca="false">C90*(D90*$D$74+E90*$D$76)+G90*SUMPRODUCT((YEAR(DATE(YEAR(Выручка!$H$7:$S$7),MONTH(Выручка!$H$7:$S$7)+Лаг_выручки,1))=$D$70)*(Выручка!$H$6:$S$6+Лаг_выручки&lt;=12)*ROUND((Выручка!$H$13:$S$13*C90)*(Выручка!$H$28:$S$28*F90),0)*Выручка!$H$30:$S$30)</f>
        <v>0</v>
      </c>
      <c r="L90" s="156" t="n">
        <f aca="false">C90*(D90*$D$75+E90*$D$77)+G90*SUMPRODUCT((YEAR(DATE(YEAR(Выручка!$H$7:$S$7),MONTH(Выручка!$H$7:$S$7)+Лаг_выручки,1))=$D$71)*(Выручка!$H$6:$S$6+Лаг_выручки&lt;=12)*ROUND((Выручка!$H$13:$S$13*C90)*(Выручка!$H$28:$S$28*F90),0)*Выручка!$H$30:$S$30)</f>
        <v>658588.95</v>
      </c>
      <c r="M90" s="156" t="n">
        <f aca="false">MAX(0,Ставка_УСН*K90-MIN(Взносы_вычет,Лимит_вычета*Ставка_УСН*K90))</f>
        <v>0</v>
      </c>
      <c r="N90" s="156" t="n">
        <f aca="false">MAX(0,Ставка_УСН*L90-MIN(Взносы_вычет,Лимит_вычета*Ставка_УСН*L90))</f>
        <v>0</v>
      </c>
      <c r="O90" s="156" t="n">
        <f aca="false">I90+J90</f>
        <v>658588.95</v>
      </c>
      <c r="P90" s="156" t="n">
        <f aca="false">Комиссия_стора*J90</f>
        <v>37229.76</v>
      </c>
      <c r="Q90" s="36" t="n">
        <f aca="false">O90-P90-($D$78+H90)-$D$81-M90-N90</f>
        <v>156707.94</v>
      </c>
    </row>
    <row r="91" customFormat="false" ht="14.25" hidden="false" customHeight="false" outlineLevel="1" collapsed="false">
      <c r="B91" s="26" t="s">
        <v>574</v>
      </c>
      <c r="C91" s="157" t="n">
        <f aca="false">1</f>
        <v>1</v>
      </c>
      <c r="D91" s="157" t="n">
        <f aca="false">1</f>
        <v>1</v>
      </c>
      <c r="E91" s="157" t="n">
        <f aca="false">1</f>
        <v>1</v>
      </c>
      <c r="F91" s="157" t="n">
        <f aca="false">1-Шаг_чувств</f>
        <v>0.8</v>
      </c>
      <c r="G91" s="157" t="n">
        <f aca="false">1</f>
        <v>1</v>
      </c>
      <c r="H91" s="156" t="n">
        <f aca="false">0+(C91-1)*Энергия!$F$39</f>
        <v>0</v>
      </c>
      <c r="I91" s="156" t="n">
        <f aca="false">C91*(D91*$D$72+E91*$D$73)</f>
        <v>364317.75</v>
      </c>
      <c r="J91" s="156" t="n">
        <f aca="false">G91*SUMPRODUCT(ROUND((Выручка!$H$13:$S$13*C91)*(Выручка!$H$28:$S$28*F91),0)*Выручка!$H$30:$S$30)</f>
        <v>197852.4</v>
      </c>
      <c r="K91" s="156" t="n">
        <f aca="false">C91*(D91*$D$74+E91*$D$76)+G91*SUMPRODUCT((YEAR(DATE(YEAR(Выручка!$H$7:$S$7),MONTH(Выручка!$H$7:$S$7)+Лаг_выручки,1))=$D$70)*(Выручка!$H$6:$S$6+Лаг_выручки&lt;=12)*ROUND((Выручка!$H$13:$S$13*C91)*(Выручка!$H$28:$S$28*F91),0)*Выручка!$H$30:$S$30)</f>
        <v>0</v>
      </c>
      <c r="L91" s="156" t="n">
        <f aca="false">C91*(D91*$D$75+E91*$D$77)+G91*SUMPRODUCT((YEAR(DATE(YEAR(Выручка!$H$7:$S$7),MONTH(Выручка!$H$7:$S$7)+Лаг_выручки,1))=$D$71)*(Выручка!$H$6:$S$6+Лаг_выручки&lt;=12)*ROUND((Выручка!$H$13:$S$13*C91)*(Выручка!$H$28:$S$28*F91),0)*Выручка!$H$30:$S$30)</f>
        <v>562170.15</v>
      </c>
      <c r="M91" s="156" t="n">
        <f aca="false">MAX(0,Ставка_УСН*K91-MIN(Взносы_вычет,Лимит_вычета*Ставка_УСН*K91))</f>
        <v>0</v>
      </c>
      <c r="N91" s="156" t="n">
        <f aca="false">MAX(0,Ставка_УСН*L91-MIN(Взносы_вычет,Лимит_вычета*Ставка_УСН*L91))</f>
        <v>0</v>
      </c>
      <c r="O91" s="156" t="n">
        <f aca="false">I91+J91</f>
        <v>562170.15</v>
      </c>
      <c r="P91" s="156" t="n">
        <f aca="false">Комиссия_стора*J91</f>
        <v>29677.86</v>
      </c>
      <c r="Q91" s="36" t="n">
        <f aca="false">O91-P91-($D$78+H91)-$D$81-M91-N91</f>
        <v>67841.04</v>
      </c>
    </row>
    <row r="92" customFormat="false" ht="14.25" hidden="false" customHeight="false" outlineLevel="1" collapsed="false">
      <c r="B92" s="26" t="s">
        <v>575</v>
      </c>
      <c r="C92" s="157" t="n">
        <f aca="false">1</f>
        <v>1</v>
      </c>
      <c r="D92" s="157" t="n">
        <f aca="false">1</f>
        <v>1</v>
      </c>
      <c r="E92" s="157" t="n">
        <f aca="false">1</f>
        <v>1</v>
      </c>
      <c r="F92" s="157" t="n">
        <f aca="false">1+Шаг_чувств</f>
        <v>1.2</v>
      </c>
      <c r="G92" s="157" t="n">
        <f aca="false">1</f>
        <v>1</v>
      </c>
      <c r="H92" s="156" t="n">
        <f aca="false">0+(C92-1)*Энергия!$F$39</f>
        <v>0</v>
      </c>
      <c r="I92" s="156" t="n">
        <f aca="false">C92*(D92*$D$72+E92*$D$73)</f>
        <v>364317.75</v>
      </c>
      <c r="J92" s="156" t="n">
        <f aca="false">G92*SUMPRODUCT(ROUND((Выручка!$H$13:$S$13*C92)*(Выручка!$H$28:$S$28*F92),0)*Выручка!$H$30:$S$30)</f>
        <v>297232</v>
      </c>
      <c r="K92" s="156" t="n">
        <f aca="false">C92*(D92*$D$74+E92*$D$76)+G92*SUMPRODUCT((YEAR(DATE(YEAR(Выручка!$H$7:$S$7),MONTH(Выручка!$H$7:$S$7)+Лаг_выручки,1))=$D$70)*(Выручка!$H$6:$S$6+Лаг_выручки&lt;=12)*ROUND((Выручка!$H$13:$S$13*C92)*(Выручка!$H$28:$S$28*F92),0)*Выручка!$H$30:$S$30)</f>
        <v>0</v>
      </c>
      <c r="L92" s="156" t="n">
        <f aca="false">C92*(D92*$D$75+E92*$D$77)+G92*SUMPRODUCT((YEAR(DATE(YEAR(Выручка!$H$7:$S$7),MONTH(Выручка!$H$7:$S$7)+Лаг_выручки,1))=$D$71)*(Выручка!$H$6:$S$6+Лаг_выручки&lt;=12)*ROUND((Выручка!$H$13:$S$13*C92)*(Выручка!$H$28:$S$28*F92),0)*Выручка!$H$30:$S$30)</f>
        <v>661549.75</v>
      </c>
      <c r="M92" s="156" t="n">
        <f aca="false">MAX(0,Ставка_УСН*K92-MIN(Взносы_вычет,Лимит_вычета*Ставка_УСН*K92))</f>
        <v>0</v>
      </c>
      <c r="N92" s="156" t="n">
        <f aca="false">MAX(0,Ставка_УСН*L92-MIN(Взносы_вычет,Лимит_вычета*Ставка_УСН*L92))</f>
        <v>0</v>
      </c>
      <c r="O92" s="156" t="n">
        <f aca="false">I92+J92</f>
        <v>661549.75</v>
      </c>
      <c r="P92" s="156" t="n">
        <f aca="false">Комиссия_стора*J92</f>
        <v>44584.8</v>
      </c>
      <c r="Q92" s="36" t="n">
        <f aca="false">O92-P92-($D$78+H92)-$D$81-M92-N92</f>
        <v>152313.7</v>
      </c>
    </row>
    <row r="93" customFormat="false" ht="14.25" hidden="false" customHeight="false" outlineLevel="1" collapsed="false">
      <c r="B93" s="26" t="s">
        <v>576</v>
      </c>
      <c r="C93" s="157" t="n">
        <f aca="false">1</f>
        <v>1</v>
      </c>
      <c r="D93" s="157" t="n">
        <f aca="false">1</f>
        <v>1</v>
      </c>
      <c r="E93" s="157" t="n">
        <f aca="false">1</f>
        <v>1</v>
      </c>
      <c r="F93" s="157" t="n">
        <f aca="false">1</f>
        <v>1</v>
      </c>
      <c r="G93" s="157" t="n">
        <f aca="false">1-Шаг_чувств</f>
        <v>0.8</v>
      </c>
      <c r="H93" s="156" t="n">
        <f aca="false">0+(C93-1)*Энергия!$F$39</f>
        <v>0</v>
      </c>
      <c r="I93" s="156" t="n">
        <f aca="false">C93*(D93*$D$72+E93*$D$73)</f>
        <v>364317.75</v>
      </c>
      <c r="J93" s="156" t="n">
        <f aca="false">G93*SUMPRODUCT(ROUND((Выручка!$H$13:$S$13*C93)*(Выручка!$H$28:$S$28*F93),0)*Выручка!$H$30:$S$30)</f>
        <v>198558.72</v>
      </c>
      <c r="K93" s="156" t="n">
        <f aca="false">C93*(D93*$D$74+E93*$D$76)+G93*SUMPRODUCT((YEAR(DATE(YEAR(Выручка!$H$7:$S$7),MONTH(Выручка!$H$7:$S$7)+Лаг_выручки,1))=$D$70)*(Выручка!$H$6:$S$6+Лаг_выручки&lt;=12)*ROUND((Выручка!$H$13:$S$13*C93)*(Выручка!$H$28:$S$28*F93),0)*Выручка!$H$30:$S$30)</f>
        <v>0</v>
      </c>
      <c r="L93" s="156" t="n">
        <f aca="false">C93*(D93*$D$75+E93*$D$77)+G93*SUMPRODUCT((YEAR(DATE(YEAR(Выручка!$H$7:$S$7),MONTH(Выручка!$H$7:$S$7)+Лаг_выручки,1))=$D$71)*(Выручка!$H$6:$S$6+Лаг_выручки&lt;=12)*ROUND((Выручка!$H$13:$S$13*C93)*(Выручка!$H$28:$S$28*F93),0)*Выручка!$H$30:$S$30)</f>
        <v>562876.47</v>
      </c>
      <c r="M93" s="156" t="n">
        <f aca="false">MAX(0,Ставка_УСН*K93-MIN(Взносы_вычет,Лимит_вычета*Ставка_УСН*K93))</f>
        <v>0</v>
      </c>
      <c r="N93" s="156" t="n">
        <f aca="false">MAX(0,Ставка_УСН*L93-MIN(Взносы_вычет,Лимит_вычета*Ставка_УСН*L93))</f>
        <v>0</v>
      </c>
      <c r="O93" s="156" t="n">
        <f aca="false">I93+J93</f>
        <v>562876.47</v>
      </c>
      <c r="P93" s="156" t="n">
        <f aca="false">Комиссия_стора*J93</f>
        <v>29783.808</v>
      </c>
      <c r="Q93" s="36" t="n">
        <f aca="false">O93-P93-($D$78+H93)-$D$81-M93-N93</f>
        <v>68441.412</v>
      </c>
    </row>
    <row r="94" customFormat="false" ht="14.25" hidden="false" customHeight="false" outlineLevel="1" collapsed="false">
      <c r="B94" s="26" t="s">
        <v>577</v>
      </c>
      <c r="C94" s="157" t="n">
        <f aca="false">1</f>
        <v>1</v>
      </c>
      <c r="D94" s="157" t="n">
        <f aca="false">1</f>
        <v>1</v>
      </c>
      <c r="E94" s="157" t="n">
        <f aca="false">1</f>
        <v>1</v>
      </c>
      <c r="F94" s="157" t="n">
        <f aca="false">1</f>
        <v>1</v>
      </c>
      <c r="G94" s="157" t="n">
        <f aca="false">1+Шаг_чувств</f>
        <v>1.2</v>
      </c>
      <c r="H94" s="156" t="n">
        <f aca="false">0+(C94-1)*Энергия!$F$39</f>
        <v>0</v>
      </c>
      <c r="I94" s="156" t="n">
        <f aca="false">C94*(D94*$D$72+E94*$D$73)</f>
        <v>364317.75</v>
      </c>
      <c r="J94" s="156" t="n">
        <f aca="false">G94*SUMPRODUCT(ROUND((Выручка!$H$13:$S$13*C94)*(Выручка!$H$28:$S$28*F94),0)*Выручка!$H$30:$S$30)</f>
        <v>297838.08</v>
      </c>
      <c r="K94" s="156" t="n">
        <f aca="false">C94*(D94*$D$74+E94*$D$76)+G94*SUMPRODUCT((YEAR(DATE(YEAR(Выручка!$H$7:$S$7),MONTH(Выручка!$H$7:$S$7)+Лаг_выручки,1))=$D$70)*(Выручка!$H$6:$S$6+Лаг_выручки&lt;=12)*ROUND((Выручка!$H$13:$S$13*C94)*(Выручка!$H$28:$S$28*F94),0)*Выручка!$H$30:$S$30)</f>
        <v>0</v>
      </c>
      <c r="L94" s="156" t="n">
        <f aca="false">C94*(D94*$D$75+E94*$D$77)+G94*SUMPRODUCT((YEAR(DATE(YEAR(Выручка!$H$7:$S$7),MONTH(Выручка!$H$7:$S$7)+Лаг_выручки,1))=$D$71)*(Выручка!$H$6:$S$6+Лаг_выручки&lt;=12)*ROUND((Выручка!$H$13:$S$13*C94)*(Выручка!$H$28:$S$28*F94),0)*Выручка!$H$30:$S$30)</f>
        <v>662155.83</v>
      </c>
      <c r="M94" s="156" t="n">
        <f aca="false">MAX(0,Ставка_УСН*K94-MIN(Взносы_вычет,Лимит_вычета*Ставка_УСН*K94))</f>
        <v>0</v>
      </c>
      <c r="N94" s="156" t="n">
        <f aca="false">MAX(0,Ставка_УСН*L94-MIN(Взносы_вычет,Лимит_вычета*Ставка_УСН*L94))</f>
        <v>0</v>
      </c>
      <c r="O94" s="156" t="n">
        <f aca="false">I94+J94</f>
        <v>662155.83</v>
      </c>
      <c r="P94" s="156" t="n">
        <f aca="false">Комиссия_стора*J94</f>
        <v>44675.712</v>
      </c>
      <c r="Q94" s="36" t="n">
        <f aca="false">O94-P94-($D$78+H94)-$D$81-M94-N94</f>
        <v>152828.868</v>
      </c>
    </row>
    <row r="95" customFormat="false" ht="14.25" hidden="false" customHeight="false" outlineLevel="1" collapsed="false">
      <c r="B95" s="26" t="s">
        <v>578</v>
      </c>
      <c r="C95" s="157" t="n">
        <f aca="false">1</f>
        <v>1</v>
      </c>
      <c r="D95" s="157" t="n">
        <f aca="false">1</f>
        <v>1</v>
      </c>
      <c r="E95" s="157" t="n">
        <f aca="false">1</f>
        <v>1</v>
      </c>
      <c r="F95" s="157" t="n">
        <f aca="false">1</f>
        <v>1</v>
      </c>
      <c r="G95" s="157" t="n">
        <f aca="false">1</f>
        <v>1</v>
      </c>
      <c r="H95" s="156" t="n">
        <f aca="false">-Шаг_чувств*$D$79+(C95-1)*Энергия!$F$39</f>
        <v>-48000</v>
      </c>
      <c r="I95" s="156" t="n">
        <f aca="false">C95*(D95*$D$72+E95*$D$73)</f>
        <v>364317.75</v>
      </c>
      <c r="J95" s="156" t="n">
        <f aca="false">G95*SUMPRODUCT(ROUND((Выручка!$H$13:$S$13*C95)*(Выручка!$H$28:$S$28*F95),0)*Выручка!$H$30:$S$30)</f>
        <v>248198.4</v>
      </c>
      <c r="K95" s="156" t="n">
        <f aca="false">C95*(D95*$D$74+E95*$D$76)+G95*SUMPRODUCT((YEAR(DATE(YEAR(Выручка!$H$7:$S$7),MONTH(Выручка!$H$7:$S$7)+Лаг_выручки,1))=$D$70)*(Выручка!$H$6:$S$6+Лаг_выручки&lt;=12)*ROUND((Выручка!$H$13:$S$13*C95)*(Выручка!$H$28:$S$28*F95),0)*Выручка!$H$30:$S$30)</f>
        <v>0</v>
      </c>
      <c r="L95" s="156" t="n">
        <f aca="false">C95*(D95*$D$75+E95*$D$77)+G95*SUMPRODUCT((YEAR(DATE(YEAR(Выручка!$H$7:$S$7),MONTH(Выручка!$H$7:$S$7)+Лаг_выручки,1))=$D$71)*(Выручка!$H$6:$S$6+Лаг_выручки&lt;=12)*ROUND((Выручка!$H$13:$S$13*C95)*(Выручка!$H$28:$S$28*F95),0)*Выручка!$H$30:$S$30)</f>
        <v>612516.15</v>
      </c>
      <c r="M95" s="156" t="n">
        <f aca="false">MAX(0,Ставка_УСН*K95-MIN(Взносы_вычет,Лимит_вычета*Ставка_УСН*K95))</f>
        <v>0</v>
      </c>
      <c r="N95" s="156" t="n">
        <f aca="false">MAX(0,Ставка_УСН*L95-MIN(Взносы_вычет,Лимит_вычета*Ставка_УСН*L95))</f>
        <v>0</v>
      </c>
      <c r="O95" s="156" t="n">
        <f aca="false">I95+J95</f>
        <v>612516.15</v>
      </c>
      <c r="P95" s="156" t="n">
        <f aca="false">Комиссия_стора*J95</f>
        <v>37229.76</v>
      </c>
      <c r="Q95" s="36" t="n">
        <f aca="false">O95-P95-($D$78+H95)-$D$81-M95-N95</f>
        <v>158635.14</v>
      </c>
    </row>
    <row r="96" customFormat="false" ht="14.25" hidden="false" customHeight="false" outlineLevel="1" collapsed="false">
      <c r="B96" s="26" t="s">
        <v>579</v>
      </c>
      <c r="C96" s="157" t="n">
        <f aca="false">1</f>
        <v>1</v>
      </c>
      <c r="D96" s="157" t="n">
        <f aca="false">1</f>
        <v>1</v>
      </c>
      <c r="E96" s="157" t="n">
        <f aca="false">1</f>
        <v>1</v>
      </c>
      <c r="F96" s="157" t="n">
        <f aca="false">1</f>
        <v>1</v>
      </c>
      <c r="G96" s="157" t="n">
        <f aca="false">1</f>
        <v>1</v>
      </c>
      <c r="H96" s="156" t="n">
        <f aca="false">Шаг_чувств*$D$79+(C96-1)*Энергия!$F$39</f>
        <v>48000</v>
      </c>
      <c r="I96" s="156" t="n">
        <f aca="false">C96*(D96*$D$72+E96*$D$73)</f>
        <v>364317.75</v>
      </c>
      <c r="J96" s="156" t="n">
        <f aca="false">G96*SUMPRODUCT(ROUND((Выручка!$H$13:$S$13*C96)*(Выручка!$H$28:$S$28*F96),0)*Выручка!$H$30:$S$30)</f>
        <v>248198.4</v>
      </c>
      <c r="K96" s="156" t="n">
        <f aca="false">C96*(D96*$D$74+E96*$D$76)+G96*SUMPRODUCT((YEAR(DATE(YEAR(Выручка!$H$7:$S$7),MONTH(Выручка!$H$7:$S$7)+Лаг_выручки,1))=$D$70)*(Выручка!$H$6:$S$6+Лаг_выручки&lt;=12)*ROUND((Выручка!$H$13:$S$13*C96)*(Выручка!$H$28:$S$28*F96),0)*Выручка!$H$30:$S$30)</f>
        <v>0</v>
      </c>
      <c r="L96" s="156" t="n">
        <f aca="false">C96*(D96*$D$75+E96*$D$77)+G96*SUMPRODUCT((YEAR(DATE(YEAR(Выручка!$H$7:$S$7),MONTH(Выручка!$H$7:$S$7)+Лаг_выручки,1))=$D$71)*(Выручка!$H$6:$S$6+Лаг_выручки&lt;=12)*ROUND((Выручка!$H$13:$S$13*C96)*(Выручка!$H$28:$S$28*F96),0)*Выручка!$H$30:$S$30)</f>
        <v>612516.15</v>
      </c>
      <c r="M96" s="156" t="n">
        <f aca="false">MAX(0,Ставка_УСН*K96-MIN(Взносы_вычет,Лимит_вычета*Ставка_УСН*K96))</f>
        <v>0</v>
      </c>
      <c r="N96" s="156" t="n">
        <f aca="false">MAX(0,Ставка_УСН*L96-MIN(Взносы_вычет,Лимит_вычета*Ставка_УСН*L96))</f>
        <v>0</v>
      </c>
      <c r="O96" s="156" t="n">
        <f aca="false">I96+J96</f>
        <v>612516.15</v>
      </c>
      <c r="P96" s="156" t="n">
        <f aca="false">Комиссия_стора*J96</f>
        <v>37229.76</v>
      </c>
      <c r="Q96" s="36" t="n">
        <f aca="false">O96-P96-($D$78+H96)-$D$81-M96-N96</f>
        <v>62635.14</v>
      </c>
    </row>
    <row r="97" customFormat="false" ht="14.25" hidden="false" customHeight="false" outlineLevel="1" collapsed="false">
      <c r="B97" s="26" t="s">
        <v>580</v>
      </c>
      <c r="C97" s="157" t="n">
        <f aca="false">1</f>
        <v>1</v>
      </c>
      <c r="D97" s="157" t="n">
        <f aca="false">1</f>
        <v>1</v>
      </c>
      <c r="E97" s="157" t="n">
        <f aca="false">1</f>
        <v>1</v>
      </c>
      <c r="F97" s="157" t="n">
        <f aca="false">1</f>
        <v>1</v>
      </c>
      <c r="G97" s="157" t="n">
        <f aca="false">1</f>
        <v>1</v>
      </c>
      <c r="H97" s="156" t="n">
        <f aca="false">-Шаг_чувств*$D$80+(C97-1)*Энергия!$F$39</f>
        <v>-18000</v>
      </c>
      <c r="I97" s="156" t="n">
        <f aca="false">C97*(D97*$D$72+E97*$D$73)</f>
        <v>364317.75</v>
      </c>
      <c r="J97" s="156" t="n">
        <f aca="false">G97*SUMPRODUCT(ROUND((Выручка!$H$13:$S$13*C97)*(Выручка!$H$28:$S$28*F97),0)*Выручка!$H$30:$S$30)</f>
        <v>248198.4</v>
      </c>
      <c r="K97" s="156" t="n">
        <f aca="false">C97*(D97*$D$74+E97*$D$76)+G97*SUMPRODUCT((YEAR(DATE(YEAR(Выручка!$H$7:$S$7),MONTH(Выручка!$H$7:$S$7)+Лаг_выручки,1))=$D$70)*(Выручка!$H$6:$S$6+Лаг_выручки&lt;=12)*ROUND((Выручка!$H$13:$S$13*C97)*(Выручка!$H$28:$S$28*F97),0)*Выручка!$H$30:$S$30)</f>
        <v>0</v>
      </c>
      <c r="L97" s="156" t="n">
        <f aca="false">C97*(D97*$D$75+E97*$D$77)+G97*SUMPRODUCT((YEAR(DATE(YEAR(Выручка!$H$7:$S$7),MONTH(Выручка!$H$7:$S$7)+Лаг_выручки,1))=$D$71)*(Выручка!$H$6:$S$6+Лаг_выручки&lt;=12)*ROUND((Выручка!$H$13:$S$13*C97)*(Выручка!$H$28:$S$28*F97),0)*Выручка!$H$30:$S$30)</f>
        <v>612516.15</v>
      </c>
      <c r="M97" s="156" t="n">
        <f aca="false">MAX(0,Ставка_УСН*K97-MIN(Взносы_вычет,Лимит_вычета*Ставка_УСН*K97))</f>
        <v>0</v>
      </c>
      <c r="N97" s="156" t="n">
        <f aca="false">MAX(0,Ставка_УСН*L97-MIN(Взносы_вычет,Лимит_вычета*Ставка_УСН*L97))</f>
        <v>0</v>
      </c>
      <c r="O97" s="156" t="n">
        <f aca="false">I97+J97</f>
        <v>612516.15</v>
      </c>
      <c r="P97" s="156" t="n">
        <f aca="false">Комиссия_стора*J97</f>
        <v>37229.76</v>
      </c>
      <c r="Q97" s="36" t="n">
        <f aca="false">O97-P97-($D$78+H97)-$D$81-M97-N97</f>
        <v>128635.14</v>
      </c>
    </row>
    <row r="98" customFormat="false" ht="14.25" hidden="false" customHeight="false" outlineLevel="1" collapsed="false">
      <c r="B98" s="26" t="s">
        <v>581</v>
      </c>
      <c r="C98" s="157" t="n">
        <f aca="false">1</f>
        <v>1</v>
      </c>
      <c r="D98" s="157" t="n">
        <f aca="false">1</f>
        <v>1</v>
      </c>
      <c r="E98" s="157" t="n">
        <f aca="false">1</f>
        <v>1</v>
      </c>
      <c r="F98" s="157" t="n">
        <f aca="false">1</f>
        <v>1</v>
      </c>
      <c r="G98" s="157" t="n">
        <f aca="false">1</f>
        <v>1</v>
      </c>
      <c r="H98" s="156" t="n">
        <f aca="false">Шаг_чувств*$D$80+(C98-1)*Энергия!$F$39</f>
        <v>18000</v>
      </c>
      <c r="I98" s="156" t="n">
        <f aca="false">C98*(D98*$D$72+E98*$D$73)</f>
        <v>364317.75</v>
      </c>
      <c r="J98" s="156" t="n">
        <f aca="false">G98*SUMPRODUCT(ROUND((Выручка!$H$13:$S$13*C98)*(Выручка!$H$28:$S$28*F98),0)*Выручка!$H$30:$S$30)</f>
        <v>248198.4</v>
      </c>
      <c r="K98" s="156" t="n">
        <f aca="false">C98*(D98*$D$74+E98*$D$76)+G98*SUMPRODUCT((YEAR(DATE(YEAR(Выручка!$H$7:$S$7),MONTH(Выручка!$H$7:$S$7)+Лаг_выручки,1))=$D$70)*(Выручка!$H$6:$S$6+Лаг_выручки&lt;=12)*ROUND((Выручка!$H$13:$S$13*C98)*(Выручка!$H$28:$S$28*F98),0)*Выручка!$H$30:$S$30)</f>
        <v>0</v>
      </c>
      <c r="L98" s="156" t="n">
        <f aca="false">C98*(D98*$D$75+E98*$D$77)+G98*SUMPRODUCT((YEAR(DATE(YEAR(Выручка!$H$7:$S$7),MONTH(Выручка!$H$7:$S$7)+Лаг_выручки,1))=$D$71)*(Выручка!$H$6:$S$6+Лаг_выручки&lt;=12)*ROUND((Выручка!$H$13:$S$13*C98)*(Выручка!$H$28:$S$28*F98),0)*Выручка!$H$30:$S$30)</f>
        <v>612516.15</v>
      </c>
      <c r="M98" s="156" t="n">
        <f aca="false">MAX(0,Ставка_УСН*K98-MIN(Взносы_вычет,Лимит_вычета*Ставка_УСН*K98))</f>
        <v>0</v>
      </c>
      <c r="N98" s="156" t="n">
        <f aca="false">MAX(0,Ставка_УСН*L98-MIN(Взносы_вычет,Лимит_вычета*Ставка_УСН*L98))</f>
        <v>0</v>
      </c>
      <c r="O98" s="156" t="n">
        <f aca="false">I98+J98</f>
        <v>612516.15</v>
      </c>
      <c r="P98" s="156" t="n">
        <f aca="false">Комиссия_стора*J98</f>
        <v>37229.76</v>
      </c>
      <c r="Q98" s="36" t="n">
        <f aca="false">O98-P98-($D$78+H98)-$D$81-M98-N98</f>
        <v>92635.14</v>
      </c>
    </row>
    <row r="99" customFormat="false" ht="14.25" hidden="false" customHeight="false" outlineLevel="1" collapsed="false">
      <c r="B99" s="26" t="s">
        <v>582</v>
      </c>
      <c r="C99" s="157" t="n">
        <f aca="false">$B$21</f>
        <v>0.6</v>
      </c>
      <c r="D99" s="157" t="n">
        <f aca="false">C$20</f>
        <v>0.6</v>
      </c>
      <c r="E99" s="157" t="n">
        <f aca="false">C$20</f>
        <v>0.6</v>
      </c>
      <c r="F99" s="157" t="n">
        <f aca="false">1</f>
        <v>1</v>
      </c>
      <c r="G99" s="157" t="n">
        <f aca="false">1</f>
        <v>1</v>
      </c>
      <c r="H99" s="156" t="n">
        <f aca="false">0+(C99-1)*Энергия!$F$39</f>
        <v>-17860.5</v>
      </c>
      <c r="I99" s="156" t="n">
        <f aca="false">C99*(D99*$D$72+E99*$D$73)</f>
        <v>131154.39</v>
      </c>
      <c r="J99" s="156" t="n">
        <f aca="false">G99*SUMPRODUCT(ROUND((Выручка!$H$13:$S$13*C99)*(Выручка!$H$28:$S$28*F99),0)*Выручка!$H$30:$S$30)</f>
        <v>148808.8</v>
      </c>
      <c r="K99" s="156" t="n">
        <f aca="false">C99*(D99*$D$74+E99*$D$76)+G99*SUMPRODUCT((YEAR(DATE(YEAR(Выручка!$H$7:$S$7),MONTH(Выручка!$H$7:$S$7)+Лаг_выручки,1))=$D$70)*(Выручка!$H$6:$S$6+Лаг_выручки&lt;=12)*ROUND((Выручка!$H$13:$S$13*C99)*(Выручка!$H$28:$S$28*F99),0)*Выручка!$H$30:$S$30)</f>
        <v>0</v>
      </c>
      <c r="L99" s="156" t="n">
        <f aca="false">C99*(D99*$D$75+E99*$D$77)+G99*SUMPRODUCT((YEAR(DATE(YEAR(Выручка!$H$7:$S$7),MONTH(Выручка!$H$7:$S$7)+Лаг_выручки,1))=$D$71)*(Выручка!$H$6:$S$6+Лаг_выручки&lt;=12)*ROUND((Выручка!$H$13:$S$13*C99)*(Выручка!$H$28:$S$28*F99),0)*Выручка!$H$30:$S$30)</f>
        <v>279963.19</v>
      </c>
      <c r="M99" s="156" t="n">
        <f aca="false">MAX(0,Ставка_УСН*K99-MIN(Взносы_вычет,Лимит_вычета*Ставка_УСН*K99))</f>
        <v>0</v>
      </c>
      <c r="N99" s="156" t="n">
        <f aca="false">MAX(0,Ставка_УСН*L99-MIN(Взносы_вычет,Лимит_вычета*Ставка_УСН*L99))</f>
        <v>0</v>
      </c>
      <c r="O99" s="156" t="n">
        <f aca="false">I99+J99</f>
        <v>279963.19</v>
      </c>
      <c r="P99" s="156" t="n">
        <f aca="false">Комиссия_стора*J99</f>
        <v>22321.32</v>
      </c>
      <c r="Q99" s="36" t="n">
        <f aca="false">O99-P99-($D$78+H99)-$D$81-M99-N99</f>
        <v>-189148.88</v>
      </c>
    </row>
    <row r="100" customFormat="false" ht="14.25" hidden="false" customHeight="false" outlineLevel="1" collapsed="false">
      <c r="B100" s="26" t="s">
        <v>583</v>
      </c>
      <c r="C100" s="157" t="n">
        <f aca="false">$B$21</f>
        <v>0.6</v>
      </c>
      <c r="D100" s="157" t="n">
        <f aca="false">D$20</f>
        <v>0.8</v>
      </c>
      <c r="E100" s="157" t="n">
        <f aca="false">D$20</f>
        <v>0.8</v>
      </c>
      <c r="F100" s="157" t="n">
        <f aca="false">1</f>
        <v>1</v>
      </c>
      <c r="G100" s="157" t="n">
        <f aca="false">1</f>
        <v>1</v>
      </c>
      <c r="H100" s="156" t="n">
        <f aca="false">0+(C100-1)*Энергия!$F$39</f>
        <v>-17860.5</v>
      </c>
      <c r="I100" s="156" t="n">
        <f aca="false">C100*(D100*$D$72+E100*$D$73)</f>
        <v>174872.52</v>
      </c>
      <c r="J100" s="156" t="n">
        <f aca="false">G100*SUMPRODUCT(ROUND((Выручка!$H$13:$S$13*C100)*(Выручка!$H$28:$S$28*F100),0)*Выручка!$H$30:$S$30)</f>
        <v>148808.8</v>
      </c>
      <c r="K100" s="156" t="n">
        <f aca="false">C100*(D100*$D$74+E100*$D$76)+G100*SUMPRODUCT((YEAR(DATE(YEAR(Выручка!$H$7:$S$7),MONTH(Выручка!$H$7:$S$7)+Лаг_выручки,1))=$D$70)*(Выручка!$H$6:$S$6+Лаг_выручки&lt;=12)*ROUND((Выручка!$H$13:$S$13*C100)*(Выручка!$H$28:$S$28*F100),0)*Выручка!$H$30:$S$30)</f>
        <v>0</v>
      </c>
      <c r="L100" s="156" t="n">
        <f aca="false">C100*(D100*$D$75+E100*$D$77)+G100*SUMPRODUCT((YEAR(DATE(YEAR(Выручка!$H$7:$S$7),MONTH(Выручка!$H$7:$S$7)+Лаг_выручки,1))=$D$71)*(Выручка!$H$6:$S$6+Лаг_выручки&lt;=12)*ROUND((Выручка!$H$13:$S$13*C100)*(Выручка!$H$28:$S$28*F100),0)*Выручка!$H$30:$S$30)</f>
        <v>323681.32</v>
      </c>
      <c r="M100" s="156" t="n">
        <f aca="false">MAX(0,Ставка_УСН*K100-MIN(Взносы_вычет,Лимит_вычета*Ставка_УСН*K100))</f>
        <v>0</v>
      </c>
      <c r="N100" s="156" t="n">
        <f aca="false">MAX(0,Ставка_УСН*L100-MIN(Взносы_вычет,Лимит_вычета*Ставка_УСН*L100))</f>
        <v>0</v>
      </c>
      <c r="O100" s="156" t="n">
        <f aca="false">I100+J100</f>
        <v>323681.32</v>
      </c>
      <c r="P100" s="156" t="n">
        <f aca="false">Комиссия_стора*J100</f>
        <v>22321.32</v>
      </c>
      <c r="Q100" s="36" t="n">
        <f aca="false">O100-P100-($D$78+H100)-$D$81-M100-N100</f>
        <v>-145430.75</v>
      </c>
    </row>
    <row r="101" customFormat="false" ht="14.25" hidden="false" customHeight="false" outlineLevel="1" collapsed="false">
      <c r="B101" s="26" t="s">
        <v>584</v>
      </c>
      <c r="C101" s="157" t="n">
        <f aca="false">$B$21</f>
        <v>0.6</v>
      </c>
      <c r="D101" s="157" t="n">
        <f aca="false">E$20</f>
        <v>1</v>
      </c>
      <c r="E101" s="157" t="n">
        <f aca="false">E$20</f>
        <v>1</v>
      </c>
      <c r="F101" s="157" t="n">
        <f aca="false">1</f>
        <v>1</v>
      </c>
      <c r="G101" s="157" t="n">
        <f aca="false">1</f>
        <v>1</v>
      </c>
      <c r="H101" s="156" t="n">
        <f aca="false">0+(C101-1)*Энергия!$F$39</f>
        <v>-17860.5</v>
      </c>
      <c r="I101" s="156" t="n">
        <f aca="false">C101*(D101*$D$72+E101*$D$73)</f>
        <v>218590.65</v>
      </c>
      <c r="J101" s="156" t="n">
        <f aca="false">G101*SUMPRODUCT(ROUND((Выручка!$H$13:$S$13*C101)*(Выручка!$H$28:$S$28*F101),0)*Выручка!$H$30:$S$30)</f>
        <v>148808.8</v>
      </c>
      <c r="K101" s="156" t="n">
        <f aca="false">C101*(D101*$D$74+E101*$D$76)+G101*SUMPRODUCT((YEAR(DATE(YEAR(Выручка!$H$7:$S$7),MONTH(Выручка!$H$7:$S$7)+Лаг_выручки,1))=$D$70)*(Выручка!$H$6:$S$6+Лаг_выручки&lt;=12)*ROUND((Выручка!$H$13:$S$13*C101)*(Выручка!$H$28:$S$28*F101),0)*Выручка!$H$30:$S$30)</f>
        <v>0</v>
      </c>
      <c r="L101" s="156" t="n">
        <f aca="false">C101*(D101*$D$75+E101*$D$77)+G101*SUMPRODUCT((YEAR(DATE(YEAR(Выручка!$H$7:$S$7),MONTH(Выручка!$H$7:$S$7)+Лаг_выручки,1))=$D$71)*(Выручка!$H$6:$S$6+Лаг_выручки&lt;=12)*ROUND((Выручка!$H$13:$S$13*C101)*(Выручка!$H$28:$S$28*F101),0)*Выручка!$H$30:$S$30)</f>
        <v>367399.45</v>
      </c>
      <c r="M101" s="156" t="n">
        <f aca="false">MAX(0,Ставка_УСН*K101-MIN(Взносы_вычет,Лимит_вычета*Ставка_УСН*K101))</f>
        <v>0</v>
      </c>
      <c r="N101" s="156" t="n">
        <f aca="false">MAX(0,Ставка_УСН*L101-MIN(Взносы_вычет,Лимит_вычета*Ставка_УСН*L101))</f>
        <v>0</v>
      </c>
      <c r="O101" s="156" t="n">
        <f aca="false">I101+J101</f>
        <v>367399.45</v>
      </c>
      <c r="P101" s="156" t="n">
        <f aca="false">Комиссия_стора*J101</f>
        <v>22321.32</v>
      </c>
      <c r="Q101" s="36" t="n">
        <f aca="false">O101-P101-($D$78+H101)-$D$81-M101-N101</f>
        <v>-101712.62</v>
      </c>
    </row>
    <row r="102" customFormat="false" ht="14.25" hidden="false" customHeight="false" outlineLevel="1" collapsed="false">
      <c r="B102" s="26" t="s">
        <v>585</v>
      </c>
      <c r="C102" s="157" t="n">
        <f aca="false">$B$21</f>
        <v>0.6</v>
      </c>
      <c r="D102" s="157" t="n">
        <f aca="false">F$20</f>
        <v>1.2</v>
      </c>
      <c r="E102" s="157" t="n">
        <f aca="false">F$20</f>
        <v>1.2</v>
      </c>
      <c r="F102" s="157" t="n">
        <f aca="false">1</f>
        <v>1</v>
      </c>
      <c r="G102" s="157" t="n">
        <f aca="false">1</f>
        <v>1</v>
      </c>
      <c r="H102" s="156" t="n">
        <f aca="false">0+(C102-1)*Энергия!$F$39</f>
        <v>-17860.5</v>
      </c>
      <c r="I102" s="156" t="n">
        <f aca="false">C102*(D102*$D$72+E102*$D$73)</f>
        <v>262308.78</v>
      </c>
      <c r="J102" s="156" t="n">
        <f aca="false">G102*SUMPRODUCT(ROUND((Выручка!$H$13:$S$13*C102)*(Выручка!$H$28:$S$28*F102),0)*Выручка!$H$30:$S$30)</f>
        <v>148808.8</v>
      </c>
      <c r="K102" s="156" t="n">
        <f aca="false">C102*(D102*$D$74+E102*$D$76)+G102*SUMPRODUCT((YEAR(DATE(YEAR(Выручка!$H$7:$S$7),MONTH(Выручка!$H$7:$S$7)+Лаг_выручки,1))=$D$70)*(Выручка!$H$6:$S$6+Лаг_выручки&lt;=12)*ROUND((Выручка!$H$13:$S$13*C102)*(Выручка!$H$28:$S$28*F102),0)*Выручка!$H$30:$S$30)</f>
        <v>0</v>
      </c>
      <c r="L102" s="156" t="n">
        <f aca="false">C102*(D102*$D$75+E102*$D$77)+G102*SUMPRODUCT((YEAR(DATE(YEAR(Выручка!$H$7:$S$7),MONTH(Выручка!$H$7:$S$7)+Лаг_выручки,1))=$D$71)*(Выручка!$H$6:$S$6+Лаг_выручки&lt;=12)*ROUND((Выручка!$H$13:$S$13*C102)*(Выручка!$H$28:$S$28*F102),0)*Выручка!$H$30:$S$30)</f>
        <v>411117.58</v>
      </c>
      <c r="M102" s="156" t="n">
        <f aca="false">MAX(0,Ставка_УСН*K102-MIN(Взносы_вычет,Лимит_вычета*Ставка_УСН*K102))</f>
        <v>0</v>
      </c>
      <c r="N102" s="156" t="n">
        <f aca="false">MAX(0,Ставка_УСН*L102-MIN(Взносы_вычет,Лимит_вычета*Ставка_УСН*L102))</f>
        <v>0</v>
      </c>
      <c r="O102" s="156" t="n">
        <f aca="false">I102+J102</f>
        <v>411117.58</v>
      </c>
      <c r="P102" s="156" t="n">
        <f aca="false">Комиссия_стора*J102</f>
        <v>22321.32</v>
      </c>
      <c r="Q102" s="36" t="n">
        <f aca="false">O102-P102-($D$78+H102)-$D$81-M102-N102</f>
        <v>-57994.4900000001</v>
      </c>
    </row>
    <row r="103" customFormat="false" ht="14.25" hidden="false" customHeight="false" outlineLevel="1" collapsed="false">
      <c r="B103" s="26" t="s">
        <v>586</v>
      </c>
      <c r="C103" s="157" t="n">
        <f aca="false">$B$21</f>
        <v>0.6</v>
      </c>
      <c r="D103" s="157" t="n">
        <f aca="false">G$20</f>
        <v>1.4</v>
      </c>
      <c r="E103" s="157" t="n">
        <f aca="false">G$20</f>
        <v>1.4</v>
      </c>
      <c r="F103" s="157" t="n">
        <f aca="false">1</f>
        <v>1</v>
      </c>
      <c r="G103" s="157" t="n">
        <f aca="false">1</f>
        <v>1</v>
      </c>
      <c r="H103" s="156" t="n">
        <f aca="false">0+(C103-1)*Энергия!$F$39</f>
        <v>-17860.5</v>
      </c>
      <c r="I103" s="156" t="n">
        <f aca="false">C103*(D103*$D$72+E103*$D$73)</f>
        <v>306026.91</v>
      </c>
      <c r="J103" s="156" t="n">
        <f aca="false">G103*SUMPRODUCT(ROUND((Выручка!$H$13:$S$13*C103)*(Выручка!$H$28:$S$28*F103),0)*Выручка!$H$30:$S$30)</f>
        <v>148808.8</v>
      </c>
      <c r="K103" s="156" t="n">
        <f aca="false">C103*(D103*$D$74+E103*$D$76)+G103*SUMPRODUCT((YEAR(DATE(YEAR(Выручка!$H$7:$S$7),MONTH(Выручка!$H$7:$S$7)+Лаг_выручки,1))=$D$70)*(Выручка!$H$6:$S$6+Лаг_выручки&lt;=12)*ROUND((Выручка!$H$13:$S$13*C103)*(Выручка!$H$28:$S$28*F103),0)*Выручка!$H$30:$S$30)</f>
        <v>0</v>
      </c>
      <c r="L103" s="156" t="n">
        <f aca="false">C103*(D103*$D$75+E103*$D$77)+G103*SUMPRODUCT((YEAR(DATE(YEAR(Выручка!$H$7:$S$7),MONTH(Выручка!$H$7:$S$7)+Лаг_выручки,1))=$D$71)*(Выручка!$H$6:$S$6+Лаг_выручки&lt;=12)*ROUND((Выручка!$H$13:$S$13*C103)*(Выручка!$H$28:$S$28*F103),0)*Выручка!$H$30:$S$30)</f>
        <v>454835.71</v>
      </c>
      <c r="M103" s="156" t="n">
        <f aca="false">MAX(0,Ставка_УСН*K103-MIN(Взносы_вычет,Лимит_вычета*Ставка_УСН*K103))</f>
        <v>0</v>
      </c>
      <c r="N103" s="156" t="n">
        <f aca="false">MAX(0,Ставка_УСН*L103-MIN(Взносы_вычет,Лимит_вычета*Ставка_УСН*L103))</f>
        <v>0</v>
      </c>
      <c r="O103" s="156" t="n">
        <f aca="false">I103+J103</f>
        <v>454835.71</v>
      </c>
      <c r="P103" s="156" t="n">
        <f aca="false">Комиссия_стора*J103</f>
        <v>22321.32</v>
      </c>
      <c r="Q103" s="36" t="n">
        <f aca="false">O103-P103-($D$78+H103)-$D$81-M103-N103</f>
        <v>-14276.36</v>
      </c>
    </row>
    <row r="104" customFormat="false" ht="14.25" hidden="false" customHeight="false" outlineLevel="1" collapsed="false">
      <c r="B104" s="26" t="s">
        <v>587</v>
      </c>
      <c r="C104" s="157" t="n">
        <f aca="false">$B$22</f>
        <v>0.8</v>
      </c>
      <c r="D104" s="157" t="n">
        <f aca="false">C$20</f>
        <v>0.6</v>
      </c>
      <c r="E104" s="157" t="n">
        <f aca="false">C$20</f>
        <v>0.6</v>
      </c>
      <c r="F104" s="157" t="n">
        <f aca="false">1</f>
        <v>1</v>
      </c>
      <c r="G104" s="157" t="n">
        <f aca="false">1</f>
        <v>1</v>
      </c>
      <c r="H104" s="156" t="n">
        <f aca="false">0+(C104-1)*Энергия!$F$39</f>
        <v>-8930.25</v>
      </c>
      <c r="I104" s="156" t="n">
        <f aca="false">C104*(D104*$D$72+E104*$D$73)</f>
        <v>174872.52</v>
      </c>
      <c r="J104" s="156" t="n">
        <f aca="false">G104*SUMPRODUCT(ROUND((Выручка!$H$13:$S$13*C104)*(Выручка!$H$28:$S$28*F104),0)*Выручка!$H$30:$S$30)</f>
        <v>197852.4</v>
      </c>
      <c r="K104" s="156" t="n">
        <f aca="false">C104*(D104*$D$74+E104*$D$76)+G104*SUMPRODUCT((YEAR(DATE(YEAR(Выручка!$H$7:$S$7),MONTH(Выручка!$H$7:$S$7)+Лаг_выручки,1))=$D$70)*(Выручка!$H$6:$S$6+Лаг_выручки&lt;=12)*ROUND((Выручка!$H$13:$S$13*C104)*(Выручка!$H$28:$S$28*F104),0)*Выручка!$H$30:$S$30)</f>
        <v>0</v>
      </c>
      <c r="L104" s="156" t="n">
        <f aca="false">C104*(D104*$D$75+E104*$D$77)+G104*SUMPRODUCT((YEAR(DATE(YEAR(Выручка!$H$7:$S$7),MONTH(Выручка!$H$7:$S$7)+Лаг_выручки,1))=$D$71)*(Выручка!$H$6:$S$6+Лаг_выручки&lt;=12)*ROUND((Выручка!$H$13:$S$13*C104)*(Выручка!$H$28:$S$28*F104),0)*Выручка!$H$30:$S$30)</f>
        <v>372724.92</v>
      </c>
      <c r="M104" s="156" t="n">
        <f aca="false">MAX(0,Ставка_УСН*K104-MIN(Взносы_вычет,Лимит_вычета*Ставка_УСН*K104))</f>
        <v>0</v>
      </c>
      <c r="N104" s="156" t="n">
        <f aca="false">MAX(0,Ставка_УСН*L104-MIN(Взносы_вычет,Лимит_вычета*Ставка_УСН*L104))</f>
        <v>0</v>
      </c>
      <c r="O104" s="156" t="n">
        <f aca="false">I104+J104</f>
        <v>372724.92</v>
      </c>
      <c r="P104" s="156" t="n">
        <f aca="false">Комиссия_стора*J104</f>
        <v>29677.86</v>
      </c>
      <c r="Q104" s="36" t="n">
        <f aca="false">O104-P104-($D$78+H104)-$D$81-M104-N104</f>
        <v>-112673.94</v>
      </c>
    </row>
    <row r="105" customFormat="false" ht="14.25" hidden="false" customHeight="false" outlineLevel="1" collapsed="false">
      <c r="B105" s="26" t="s">
        <v>588</v>
      </c>
      <c r="C105" s="157" t="n">
        <f aca="false">$B$22</f>
        <v>0.8</v>
      </c>
      <c r="D105" s="157" t="n">
        <f aca="false">D$20</f>
        <v>0.8</v>
      </c>
      <c r="E105" s="157" t="n">
        <f aca="false">D$20</f>
        <v>0.8</v>
      </c>
      <c r="F105" s="157" t="n">
        <f aca="false">1</f>
        <v>1</v>
      </c>
      <c r="G105" s="157" t="n">
        <f aca="false">1</f>
        <v>1</v>
      </c>
      <c r="H105" s="156" t="n">
        <f aca="false">0+(C105-1)*Энергия!$F$39</f>
        <v>-8930.25</v>
      </c>
      <c r="I105" s="156" t="n">
        <f aca="false">C105*(D105*$D$72+E105*$D$73)</f>
        <v>233163.36</v>
      </c>
      <c r="J105" s="156" t="n">
        <f aca="false">G105*SUMPRODUCT(ROUND((Выручка!$H$13:$S$13*C105)*(Выручка!$H$28:$S$28*F105),0)*Выручка!$H$30:$S$30)</f>
        <v>197852.4</v>
      </c>
      <c r="K105" s="156" t="n">
        <f aca="false">C105*(D105*$D$74+E105*$D$76)+G105*SUMPRODUCT((YEAR(DATE(YEAR(Выручка!$H$7:$S$7),MONTH(Выручка!$H$7:$S$7)+Лаг_выручки,1))=$D$70)*(Выручка!$H$6:$S$6+Лаг_выручки&lt;=12)*ROUND((Выручка!$H$13:$S$13*C105)*(Выручка!$H$28:$S$28*F105),0)*Выручка!$H$30:$S$30)</f>
        <v>0</v>
      </c>
      <c r="L105" s="156" t="n">
        <f aca="false">C105*(D105*$D$75+E105*$D$77)+G105*SUMPRODUCT((YEAR(DATE(YEAR(Выручка!$H$7:$S$7),MONTH(Выручка!$H$7:$S$7)+Лаг_выручки,1))=$D$71)*(Выручка!$H$6:$S$6+Лаг_выручки&lt;=12)*ROUND((Выручка!$H$13:$S$13*C105)*(Выручка!$H$28:$S$28*F105),0)*Выручка!$H$30:$S$30)</f>
        <v>431015.76</v>
      </c>
      <c r="M105" s="156" t="n">
        <f aca="false">MAX(0,Ставка_УСН*K105-MIN(Взносы_вычет,Лимит_вычета*Ставка_УСН*K105))</f>
        <v>0</v>
      </c>
      <c r="N105" s="156" t="n">
        <f aca="false">MAX(0,Ставка_УСН*L105-MIN(Взносы_вычет,Лимит_вычета*Ставка_УСН*L105))</f>
        <v>0</v>
      </c>
      <c r="O105" s="156" t="n">
        <f aca="false">I105+J105</f>
        <v>431015.76</v>
      </c>
      <c r="P105" s="156" t="n">
        <f aca="false">Комиссия_стора*J105</f>
        <v>29677.86</v>
      </c>
      <c r="Q105" s="36" t="n">
        <f aca="false">O105-P105-($D$78+H105)-$D$81-M105-N105</f>
        <v>-54383.1</v>
      </c>
    </row>
    <row r="106" customFormat="false" ht="14.25" hidden="false" customHeight="false" outlineLevel="1" collapsed="false">
      <c r="B106" s="26" t="s">
        <v>589</v>
      </c>
      <c r="C106" s="157" t="n">
        <f aca="false">$B$22</f>
        <v>0.8</v>
      </c>
      <c r="D106" s="157" t="n">
        <f aca="false">E$20</f>
        <v>1</v>
      </c>
      <c r="E106" s="157" t="n">
        <f aca="false">E$20</f>
        <v>1</v>
      </c>
      <c r="F106" s="157" t="n">
        <f aca="false">1</f>
        <v>1</v>
      </c>
      <c r="G106" s="157" t="n">
        <f aca="false">1</f>
        <v>1</v>
      </c>
      <c r="H106" s="156" t="n">
        <f aca="false">0+(C106-1)*Энергия!$F$39</f>
        <v>-8930.25</v>
      </c>
      <c r="I106" s="156" t="n">
        <f aca="false">C106*(D106*$D$72+E106*$D$73)</f>
        <v>291454.2</v>
      </c>
      <c r="J106" s="156" t="n">
        <f aca="false">G106*SUMPRODUCT(ROUND((Выручка!$H$13:$S$13*C106)*(Выручка!$H$28:$S$28*F106),0)*Выручка!$H$30:$S$30)</f>
        <v>197852.4</v>
      </c>
      <c r="K106" s="156" t="n">
        <f aca="false">C106*(D106*$D$74+E106*$D$76)+G106*SUMPRODUCT((YEAR(DATE(YEAR(Выручка!$H$7:$S$7),MONTH(Выручка!$H$7:$S$7)+Лаг_выручки,1))=$D$70)*(Выручка!$H$6:$S$6+Лаг_выручки&lt;=12)*ROUND((Выручка!$H$13:$S$13*C106)*(Выручка!$H$28:$S$28*F106),0)*Выручка!$H$30:$S$30)</f>
        <v>0</v>
      </c>
      <c r="L106" s="156" t="n">
        <f aca="false">C106*(D106*$D$75+E106*$D$77)+G106*SUMPRODUCT((YEAR(DATE(YEAR(Выручка!$H$7:$S$7),MONTH(Выручка!$H$7:$S$7)+Лаг_выручки,1))=$D$71)*(Выручка!$H$6:$S$6+Лаг_выручки&lt;=12)*ROUND((Выручка!$H$13:$S$13*C106)*(Выручка!$H$28:$S$28*F106),0)*Выручка!$H$30:$S$30)</f>
        <v>489306.6</v>
      </c>
      <c r="M106" s="156" t="n">
        <f aca="false">MAX(0,Ставка_УСН*K106-MIN(Взносы_вычет,Лимит_вычета*Ставка_УСН*K106))</f>
        <v>0</v>
      </c>
      <c r="N106" s="156" t="n">
        <f aca="false">MAX(0,Ставка_УСН*L106-MIN(Взносы_вычет,Лимит_вычета*Ставка_УСН*L106))</f>
        <v>0</v>
      </c>
      <c r="O106" s="156" t="n">
        <f aca="false">I106+J106</f>
        <v>489306.6</v>
      </c>
      <c r="P106" s="156" t="n">
        <f aca="false">Комиссия_стора*J106</f>
        <v>29677.86</v>
      </c>
      <c r="Q106" s="36" t="n">
        <f aca="false">O106-P106-($D$78+H106)-$D$81-M106-N106</f>
        <v>3907.74000000005</v>
      </c>
    </row>
    <row r="107" customFormat="false" ht="14.25" hidden="false" customHeight="false" outlineLevel="1" collapsed="false">
      <c r="B107" s="26" t="s">
        <v>590</v>
      </c>
      <c r="C107" s="157" t="n">
        <f aca="false">$B$22</f>
        <v>0.8</v>
      </c>
      <c r="D107" s="157" t="n">
        <f aca="false">F$20</f>
        <v>1.2</v>
      </c>
      <c r="E107" s="157" t="n">
        <f aca="false">F$20</f>
        <v>1.2</v>
      </c>
      <c r="F107" s="157" t="n">
        <f aca="false">1</f>
        <v>1</v>
      </c>
      <c r="G107" s="157" t="n">
        <f aca="false">1</f>
        <v>1</v>
      </c>
      <c r="H107" s="156" t="n">
        <f aca="false">0+(C107-1)*Энергия!$F$39</f>
        <v>-8930.25</v>
      </c>
      <c r="I107" s="156" t="n">
        <f aca="false">C107*(D107*$D$72+E107*$D$73)</f>
        <v>349745.04</v>
      </c>
      <c r="J107" s="156" t="n">
        <f aca="false">G107*SUMPRODUCT(ROUND((Выручка!$H$13:$S$13*C107)*(Выручка!$H$28:$S$28*F107),0)*Выручка!$H$30:$S$30)</f>
        <v>197852.4</v>
      </c>
      <c r="K107" s="156" t="n">
        <f aca="false">C107*(D107*$D$74+E107*$D$76)+G107*SUMPRODUCT((YEAR(DATE(YEAR(Выручка!$H$7:$S$7),MONTH(Выручка!$H$7:$S$7)+Лаг_выручки,1))=$D$70)*(Выручка!$H$6:$S$6+Лаг_выручки&lt;=12)*ROUND((Выручка!$H$13:$S$13*C107)*(Выручка!$H$28:$S$28*F107),0)*Выручка!$H$30:$S$30)</f>
        <v>0</v>
      </c>
      <c r="L107" s="156" t="n">
        <f aca="false">C107*(D107*$D$75+E107*$D$77)+G107*SUMPRODUCT((YEAR(DATE(YEAR(Выручка!$H$7:$S$7),MONTH(Выручка!$H$7:$S$7)+Лаг_выручки,1))=$D$71)*(Выручка!$H$6:$S$6+Лаг_выручки&lt;=12)*ROUND((Выручка!$H$13:$S$13*C107)*(Выручка!$H$28:$S$28*F107),0)*Выручка!$H$30:$S$30)</f>
        <v>547597.44</v>
      </c>
      <c r="M107" s="156" t="n">
        <f aca="false">MAX(0,Ставка_УСН*K107-MIN(Взносы_вычет,Лимит_вычета*Ставка_УСН*K107))</f>
        <v>0</v>
      </c>
      <c r="N107" s="156" t="n">
        <f aca="false">MAX(0,Ставка_УСН*L107-MIN(Взносы_вычет,Лимит_вычета*Ставка_УСН*L107))</f>
        <v>0</v>
      </c>
      <c r="O107" s="156" t="n">
        <f aca="false">I107+J107</f>
        <v>547597.44</v>
      </c>
      <c r="P107" s="156" t="n">
        <f aca="false">Комиссия_стора*J107</f>
        <v>29677.86</v>
      </c>
      <c r="Q107" s="36" t="n">
        <f aca="false">O107-P107-($D$78+H107)-$D$81-M107-N107</f>
        <v>62198.5800000001</v>
      </c>
    </row>
    <row r="108" customFormat="false" ht="14.25" hidden="false" customHeight="false" outlineLevel="1" collapsed="false">
      <c r="B108" s="26" t="s">
        <v>591</v>
      </c>
      <c r="C108" s="157" t="n">
        <f aca="false">$B$22</f>
        <v>0.8</v>
      </c>
      <c r="D108" s="157" t="n">
        <f aca="false">G$20</f>
        <v>1.4</v>
      </c>
      <c r="E108" s="157" t="n">
        <f aca="false">G$20</f>
        <v>1.4</v>
      </c>
      <c r="F108" s="157" t="n">
        <f aca="false">1</f>
        <v>1</v>
      </c>
      <c r="G108" s="157" t="n">
        <f aca="false">1</f>
        <v>1</v>
      </c>
      <c r="H108" s="156" t="n">
        <f aca="false">0+(C108-1)*Энергия!$F$39</f>
        <v>-8930.25</v>
      </c>
      <c r="I108" s="156" t="n">
        <f aca="false">C108*(D108*$D$72+E108*$D$73)</f>
        <v>408035.88</v>
      </c>
      <c r="J108" s="156" t="n">
        <f aca="false">G108*SUMPRODUCT(ROUND((Выручка!$H$13:$S$13*C108)*(Выручка!$H$28:$S$28*F108),0)*Выручка!$H$30:$S$30)</f>
        <v>197852.4</v>
      </c>
      <c r="K108" s="156" t="n">
        <f aca="false">C108*(D108*$D$74+E108*$D$76)+G108*SUMPRODUCT((YEAR(DATE(YEAR(Выручка!$H$7:$S$7),MONTH(Выручка!$H$7:$S$7)+Лаг_выручки,1))=$D$70)*(Выручка!$H$6:$S$6+Лаг_выручки&lt;=12)*ROUND((Выручка!$H$13:$S$13*C108)*(Выручка!$H$28:$S$28*F108),0)*Выручка!$H$30:$S$30)</f>
        <v>0</v>
      </c>
      <c r="L108" s="156" t="n">
        <f aca="false">C108*(D108*$D$75+E108*$D$77)+G108*SUMPRODUCT((YEAR(DATE(YEAR(Выручка!$H$7:$S$7),MONTH(Выручка!$H$7:$S$7)+Лаг_выручки,1))=$D$71)*(Выручка!$H$6:$S$6+Лаг_выручки&lt;=12)*ROUND((Выручка!$H$13:$S$13*C108)*(Выручка!$H$28:$S$28*F108),0)*Выручка!$H$30:$S$30)</f>
        <v>605888.28</v>
      </c>
      <c r="M108" s="156" t="n">
        <f aca="false">MAX(0,Ставка_УСН*K108-MIN(Взносы_вычет,Лимит_вычета*Ставка_УСН*K108))</f>
        <v>0</v>
      </c>
      <c r="N108" s="156" t="n">
        <f aca="false">MAX(0,Ставка_УСН*L108-MIN(Взносы_вычет,Лимит_вычета*Ставка_УСН*L108))</f>
        <v>0</v>
      </c>
      <c r="O108" s="156" t="n">
        <f aca="false">I108+J108</f>
        <v>605888.28</v>
      </c>
      <c r="P108" s="156" t="n">
        <f aca="false">Комиссия_стора*J108</f>
        <v>29677.86</v>
      </c>
      <c r="Q108" s="36" t="n">
        <f aca="false">O108-P108-($D$78+H108)-$D$81-M108-N108</f>
        <v>120489.42</v>
      </c>
    </row>
    <row r="109" customFormat="false" ht="14.25" hidden="false" customHeight="false" outlineLevel="1" collapsed="false">
      <c r="B109" s="26" t="s">
        <v>592</v>
      </c>
      <c r="C109" s="157" t="n">
        <f aca="false">$B$23</f>
        <v>1</v>
      </c>
      <c r="D109" s="157" t="n">
        <f aca="false">C$20</f>
        <v>0.6</v>
      </c>
      <c r="E109" s="157" t="n">
        <f aca="false">C$20</f>
        <v>0.6</v>
      </c>
      <c r="F109" s="157" t="n">
        <f aca="false">1</f>
        <v>1</v>
      </c>
      <c r="G109" s="157" t="n">
        <f aca="false">1</f>
        <v>1</v>
      </c>
      <c r="H109" s="156" t="n">
        <f aca="false">0+(C109-1)*Энергия!$F$39</f>
        <v>0</v>
      </c>
      <c r="I109" s="156" t="n">
        <f aca="false">C109*(D109*$D$72+E109*$D$73)</f>
        <v>218590.65</v>
      </c>
      <c r="J109" s="156" t="n">
        <f aca="false">G109*SUMPRODUCT(ROUND((Выручка!$H$13:$S$13*C109)*(Выручка!$H$28:$S$28*F109),0)*Выручка!$H$30:$S$30)</f>
        <v>248198.4</v>
      </c>
      <c r="K109" s="156" t="n">
        <f aca="false">C109*(D109*$D$74+E109*$D$76)+G109*SUMPRODUCT((YEAR(DATE(YEAR(Выручка!$H$7:$S$7),MONTH(Выручка!$H$7:$S$7)+Лаг_выручки,1))=$D$70)*(Выручка!$H$6:$S$6+Лаг_выручки&lt;=12)*ROUND((Выручка!$H$13:$S$13*C109)*(Выручка!$H$28:$S$28*F109),0)*Выручка!$H$30:$S$30)</f>
        <v>0</v>
      </c>
      <c r="L109" s="156" t="n">
        <f aca="false">C109*(D109*$D$75+E109*$D$77)+G109*SUMPRODUCT((YEAR(DATE(YEAR(Выручка!$H$7:$S$7),MONTH(Выручка!$H$7:$S$7)+Лаг_выручки,1))=$D$71)*(Выручка!$H$6:$S$6+Лаг_выручки&lt;=12)*ROUND((Выручка!$H$13:$S$13*C109)*(Выручка!$H$28:$S$28*F109),0)*Выручка!$H$30:$S$30)</f>
        <v>466789.05</v>
      </c>
      <c r="M109" s="156" t="n">
        <f aca="false">MAX(0,Ставка_УСН*K109-MIN(Взносы_вычет,Лимит_вычета*Ставка_УСН*K109))</f>
        <v>0</v>
      </c>
      <c r="N109" s="156" t="n">
        <f aca="false">MAX(0,Ставка_УСН*L109-MIN(Взносы_вычет,Лимит_вычета*Ставка_УСН*L109))</f>
        <v>0</v>
      </c>
      <c r="O109" s="156" t="n">
        <f aca="false">I109+J109</f>
        <v>466789.05</v>
      </c>
      <c r="P109" s="156" t="n">
        <f aca="false">Комиссия_стора*J109</f>
        <v>37229.76</v>
      </c>
      <c r="Q109" s="36" t="n">
        <f aca="false">O109-P109-($D$78+H109)-$D$81-M109-N109</f>
        <v>-35091.96</v>
      </c>
    </row>
    <row r="110" customFormat="false" ht="14.25" hidden="false" customHeight="false" outlineLevel="1" collapsed="false">
      <c r="B110" s="26" t="s">
        <v>593</v>
      </c>
      <c r="C110" s="157" t="n">
        <f aca="false">$B$23</f>
        <v>1</v>
      </c>
      <c r="D110" s="157" t="n">
        <f aca="false">D$20</f>
        <v>0.8</v>
      </c>
      <c r="E110" s="157" t="n">
        <f aca="false">D$20</f>
        <v>0.8</v>
      </c>
      <c r="F110" s="157" t="n">
        <f aca="false">1</f>
        <v>1</v>
      </c>
      <c r="G110" s="157" t="n">
        <f aca="false">1</f>
        <v>1</v>
      </c>
      <c r="H110" s="156" t="n">
        <f aca="false">0+(C110-1)*Энергия!$F$39</f>
        <v>0</v>
      </c>
      <c r="I110" s="156" t="n">
        <f aca="false">C110*(D110*$D$72+E110*$D$73)</f>
        <v>291454.2</v>
      </c>
      <c r="J110" s="156" t="n">
        <f aca="false">G110*SUMPRODUCT(ROUND((Выручка!$H$13:$S$13*C110)*(Выручка!$H$28:$S$28*F110),0)*Выручка!$H$30:$S$30)</f>
        <v>248198.4</v>
      </c>
      <c r="K110" s="156" t="n">
        <f aca="false">C110*(D110*$D$74+E110*$D$76)+G110*SUMPRODUCT((YEAR(DATE(YEAR(Выручка!$H$7:$S$7),MONTH(Выручка!$H$7:$S$7)+Лаг_выручки,1))=$D$70)*(Выручка!$H$6:$S$6+Лаг_выручки&lt;=12)*ROUND((Выручка!$H$13:$S$13*C110)*(Выручка!$H$28:$S$28*F110),0)*Выручка!$H$30:$S$30)</f>
        <v>0</v>
      </c>
      <c r="L110" s="156" t="n">
        <f aca="false">C110*(D110*$D$75+E110*$D$77)+G110*SUMPRODUCT((YEAR(DATE(YEAR(Выручка!$H$7:$S$7),MONTH(Выручка!$H$7:$S$7)+Лаг_выручки,1))=$D$71)*(Выручка!$H$6:$S$6+Лаг_выручки&lt;=12)*ROUND((Выручка!$H$13:$S$13*C110)*(Выручка!$H$28:$S$28*F110),0)*Выручка!$H$30:$S$30)</f>
        <v>539652.6</v>
      </c>
      <c r="M110" s="156" t="n">
        <f aca="false">MAX(0,Ставка_УСН*K110-MIN(Взносы_вычет,Лимит_вычета*Ставка_УСН*K110))</f>
        <v>0</v>
      </c>
      <c r="N110" s="156" t="n">
        <f aca="false">MAX(0,Ставка_УСН*L110-MIN(Взносы_вычет,Лимит_вычета*Ставка_УСН*L110))</f>
        <v>0</v>
      </c>
      <c r="O110" s="156" t="n">
        <f aca="false">I110+J110</f>
        <v>539652.6</v>
      </c>
      <c r="P110" s="156" t="n">
        <f aca="false">Комиссия_стора*J110</f>
        <v>37229.76</v>
      </c>
      <c r="Q110" s="36" t="n">
        <f aca="false">O110-P110-($D$78+H110)-$D$81-M110-N110</f>
        <v>37771.5900000001</v>
      </c>
    </row>
    <row r="111" customFormat="false" ht="14.25" hidden="false" customHeight="false" outlineLevel="1" collapsed="false">
      <c r="B111" s="26" t="s">
        <v>594</v>
      </c>
      <c r="C111" s="157" t="n">
        <f aca="false">$B$23</f>
        <v>1</v>
      </c>
      <c r="D111" s="157" t="n">
        <f aca="false">E$20</f>
        <v>1</v>
      </c>
      <c r="E111" s="157" t="n">
        <f aca="false">E$20</f>
        <v>1</v>
      </c>
      <c r="F111" s="157" t="n">
        <f aca="false">1</f>
        <v>1</v>
      </c>
      <c r="G111" s="157" t="n">
        <f aca="false">1</f>
        <v>1</v>
      </c>
      <c r="H111" s="156" t="n">
        <f aca="false">0+(C111-1)*Энергия!$F$39</f>
        <v>0</v>
      </c>
      <c r="I111" s="156" t="n">
        <f aca="false">C111*(D111*$D$72+E111*$D$73)</f>
        <v>364317.75</v>
      </c>
      <c r="J111" s="156" t="n">
        <f aca="false">G111*SUMPRODUCT(ROUND((Выручка!$H$13:$S$13*C111)*(Выручка!$H$28:$S$28*F111),0)*Выручка!$H$30:$S$30)</f>
        <v>248198.4</v>
      </c>
      <c r="K111" s="156" t="n">
        <f aca="false">C111*(D111*$D$74+E111*$D$76)+G111*SUMPRODUCT((YEAR(DATE(YEAR(Выручка!$H$7:$S$7),MONTH(Выручка!$H$7:$S$7)+Лаг_выручки,1))=$D$70)*(Выручка!$H$6:$S$6+Лаг_выручки&lt;=12)*ROUND((Выручка!$H$13:$S$13*C111)*(Выручка!$H$28:$S$28*F111),0)*Выручка!$H$30:$S$30)</f>
        <v>0</v>
      </c>
      <c r="L111" s="156" t="n">
        <f aca="false">C111*(D111*$D$75+E111*$D$77)+G111*SUMPRODUCT((YEAR(DATE(YEAR(Выручка!$H$7:$S$7),MONTH(Выручка!$H$7:$S$7)+Лаг_выручки,1))=$D$71)*(Выручка!$H$6:$S$6+Лаг_выручки&lt;=12)*ROUND((Выручка!$H$13:$S$13*C111)*(Выручка!$H$28:$S$28*F111),0)*Выручка!$H$30:$S$30)</f>
        <v>612516.15</v>
      </c>
      <c r="M111" s="156" t="n">
        <f aca="false">MAX(0,Ставка_УСН*K111-MIN(Взносы_вычет,Лимит_вычета*Ставка_УСН*K111))</f>
        <v>0</v>
      </c>
      <c r="N111" s="156" t="n">
        <f aca="false">MAX(0,Ставка_УСН*L111-MIN(Взносы_вычет,Лимит_вычета*Ставка_УСН*L111))</f>
        <v>0</v>
      </c>
      <c r="O111" s="156" t="n">
        <f aca="false">I111+J111</f>
        <v>612516.15</v>
      </c>
      <c r="P111" s="156" t="n">
        <f aca="false">Комиссия_стора*J111</f>
        <v>37229.76</v>
      </c>
      <c r="Q111" s="36" t="n">
        <f aca="false">O111-P111-($D$78+H111)-$D$81-M111-N111</f>
        <v>110635.14</v>
      </c>
    </row>
    <row r="112" customFormat="false" ht="14.25" hidden="false" customHeight="false" outlineLevel="1" collapsed="false">
      <c r="B112" s="26" t="s">
        <v>595</v>
      </c>
      <c r="C112" s="157" t="n">
        <f aca="false">$B$23</f>
        <v>1</v>
      </c>
      <c r="D112" s="157" t="n">
        <f aca="false">F$20</f>
        <v>1.2</v>
      </c>
      <c r="E112" s="157" t="n">
        <f aca="false">F$20</f>
        <v>1.2</v>
      </c>
      <c r="F112" s="157" t="n">
        <f aca="false">1</f>
        <v>1</v>
      </c>
      <c r="G112" s="157" t="n">
        <f aca="false">1</f>
        <v>1</v>
      </c>
      <c r="H112" s="156" t="n">
        <f aca="false">0+(C112-1)*Энергия!$F$39</f>
        <v>0</v>
      </c>
      <c r="I112" s="156" t="n">
        <f aca="false">C112*(D112*$D$72+E112*$D$73)</f>
        <v>437181.3</v>
      </c>
      <c r="J112" s="156" t="n">
        <f aca="false">G112*SUMPRODUCT(ROUND((Выручка!$H$13:$S$13*C112)*(Выручка!$H$28:$S$28*F112),0)*Выручка!$H$30:$S$30)</f>
        <v>248198.4</v>
      </c>
      <c r="K112" s="156" t="n">
        <f aca="false">C112*(D112*$D$74+E112*$D$76)+G112*SUMPRODUCT((YEAR(DATE(YEAR(Выручка!$H$7:$S$7),MONTH(Выручка!$H$7:$S$7)+Лаг_выручки,1))=$D$70)*(Выручка!$H$6:$S$6+Лаг_выручки&lt;=12)*ROUND((Выручка!$H$13:$S$13*C112)*(Выручка!$H$28:$S$28*F112),0)*Выручка!$H$30:$S$30)</f>
        <v>0</v>
      </c>
      <c r="L112" s="156" t="n">
        <f aca="false">C112*(D112*$D$75+E112*$D$77)+G112*SUMPRODUCT((YEAR(DATE(YEAR(Выручка!$H$7:$S$7),MONTH(Выручка!$H$7:$S$7)+Лаг_выручки,1))=$D$71)*(Выручка!$H$6:$S$6+Лаг_выручки&lt;=12)*ROUND((Выручка!$H$13:$S$13*C112)*(Выручка!$H$28:$S$28*F112),0)*Выручка!$H$30:$S$30)</f>
        <v>685379.7</v>
      </c>
      <c r="M112" s="156" t="n">
        <f aca="false">MAX(0,Ставка_УСН*K112-MIN(Взносы_вычет,Лимит_вычета*Ставка_УСН*K112))</f>
        <v>0</v>
      </c>
      <c r="N112" s="156" t="n">
        <f aca="false">MAX(0,Ставка_УСН*L112-MIN(Взносы_вычет,Лимит_вычета*Ставка_УСН*L112))</f>
        <v>0</v>
      </c>
      <c r="O112" s="156" t="n">
        <f aca="false">I112+J112</f>
        <v>685379.7</v>
      </c>
      <c r="P112" s="156" t="n">
        <f aca="false">Комиссия_стора*J112</f>
        <v>37229.76</v>
      </c>
      <c r="Q112" s="36" t="n">
        <f aca="false">O112-P112-($D$78+H112)-$D$81-M112-N112</f>
        <v>183498.69</v>
      </c>
    </row>
    <row r="113" customFormat="false" ht="14.25" hidden="false" customHeight="false" outlineLevel="1" collapsed="false">
      <c r="B113" s="26" t="s">
        <v>596</v>
      </c>
      <c r="C113" s="157" t="n">
        <f aca="false">$B$23</f>
        <v>1</v>
      </c>
      <c r="D113" s="157" t="n">
        <f aca="false">G$20</f>
        <v>1.4</v>
      </c>
      <c r="E113" s="157" t="n">
        <f aca="false">G$20</f>
        <v>1.4</v>
      </c>
      <c r="F113" s="157" t="n">
        <f aca="false">1</f>
        <v>1</v>
      </c>
      <c r="G113" s="157" t="n">
        <f aca="false">1</f>
        <v>1</v>
      </c>
      <c r="H113" s="156" t="n">
        <f aca="false">0+(C113-1)*Энергия!$F$39</f>
        <v>0</v>
      </c>
      <c r="I113" s="156" t="n">
        <f aca="false">C113*(D113*$D$72+E113*$D$73)</f>
        <v>510044.85</v>
      </c>
      <c r="J113" s="156" t="n">
        <f aca="false">G113*SUMPRODUCT(ROUND((Выручка!$H$13:$S$13*C113)*(Выручка!$H$28:$S$28*F113),0)*Выручка!$H$30:$S$30)</f>
        <v>248198.4</v>
      </c>
      <c r="K113" s="156" t="n">
        <f aca="false">C113*(D113*$D$74+E113*$D$76)+G113*SUMPRODUCT((YEAR(DATE(YEAR(Выручка!$H$7:$S$7),MONTH(Выручка!$H$7:$S$7)+Лаг_выручки,1))=$D$70)*(Выручка!$H$6:$S$6+Лаг_выручки&lt;=12)*ROUND((Выручка!$H$13:$S$13*C113)*(Выручка!$H$28:$S$28*F113),0)*Выручка!$H$30:$S$30)</f>
        <v>0</v>
      </c>
      <c r="L113" s="156" t="n">
        <f aca="false">C113*(D113*$D$75+E113*$D$77)+G113*SUMPRODUCT((YEAR(DATE(YEAR(Выручка!$H$7:$S$7),MONTH(Выручка!$H$7:$S$7)+Лаг_выручки,1))=$D$71)*(Выручка!$H$6:$S$6+Лаг_выручки&lt;=12)*ROUND((Выручка!$H$13:$S$13*C113)*(Выручка!$H$28:$S$28*F113),0)*Выручка!$H$30:$S$30)</f>
        <v>758243.25</v>
      </c>
      <c r="M113" s="156" t="n">
        <f aca="false">MAX(0,Ставка_УСН*K113-MIN(Взносы_вычет,Лимит_вычета*Ставка_УСН*K113))</f>
        <v>0</v>
      </c>
      <c r="N113" s="156" t="n">
        <f aca="false">MAX(0,Ставка_УСН*L113-MIN(Взносы_вычет,Лимит_вычета*Ставка_УСН*L113))</f>
        <v>0</v>
      </c>
      <c r="O113" s="156" t="n">
        <f aca="false">I113+J113</f>
        <v>758243.25</v>
      </c>
      <c r="P113" s="156" t="n">
        <f aca="false">Комиссия_стора*J113</f>
        <v>37229.76</v>
      </c>
      <c r="Q113" s="36" t="n">
        <f aca="false">O113-P113-($D$78+H113)-$D$81-M113-N113</f>
        <v>256362.24</v>
      </c>
    </row>
    <row r="114" customFormat="false" ht="14.25" hidden="false" customHeight="false" outlineLevel="1" collapsed="false">
      <c r="B114" s="26" t="s">
        <v>597</v>
      </c>
      <c r="C114" s="157" t="n">
        <f aca="false">$B$24</f>
        <v>1.2</v>
      </c>
      <c r="D114" s="157" t="n">
        <f aca="false">C$20</f>
        <v>0.6</v>
      </c>
      <c r="E114" s="157" t="n">
        <f aca="false">C$20</f>
        <v>0.6</v>
      </c>
      <c r="F114" s="157" t="n">
        <f aca="false">1</f>
        <v>1</v>
      </c>
      <c r="G114" s="157" t="n">
        <f aca="false">1</f>
        <v>1</v>
      </c>
      <c r="H114" s="156" t="n">
        <f aca="false">0+(C114-1)*Энергия!$F$39</f>
        <v>8930.25</v>
      </c>
      <c r="I114" s="156" t="n">
        <f aca="false">C114*(D114*$D$72+E114*$D$73)</f>
        <v>262308.78</v>
      </c>
      <c r="J114" s="156" t="n">
        <f aca="false">G114*SUMPRODUCT(ROUND((Выручка!$H$13:$S$13*C114)*(Выручка!$H$28:$S$28*F114),0)*Выручка!$H$30:$S$30)</f>
        <v>297232</v>
      </c>
      <c r="K114" s="156" t="n">
        <f aca="false">C114*(D114*$D$74+E114*$D$76)+G114*SUMPRODUCT((YEAR(DATE(YEAR(Выручка!$H$7:$S$7),MONTH(Выручка!$H$7:$S$7)+Лаг_выручки,1))=$D$70)*(Выручка!$H$6:$S$6+Лаг_выручки&lt;=12)*ROUND((Выручка!$H$13:$S$13*C114)*(Выручка!$H$28:$S$28*F114),0)*Выручка!$H$30:$S$30)</f>
        <v>0</v>
      </c>
      <c r="L114" s="156" t="n">
        <f aca="false">C114*(D114*$D$75+E114*$D$77)+G114*SUMPRODUCT((YEAR(DATE(YEAR(Выручка!$H$7:$S$7),MONTH(Выручка!$H$7:$S$7)+Лаг_выручки,1))=$D$71)*(Выручка!$H$6:$S$6+Лаг_выручки&lt;=12)*ROUND((Выручка!$H$13:$S$13*C114)*(Выручка!$H$28:$S$28*F114),0)*Выручка!$H$30:$S$30)</f>
        <v>559540.78</v>
      </c>
      <c r="M114" s="156" t="n">
        <f aca="false">MAX(0,Ставка_УСН*K114-MIN(Взносы_вычет,Лимит_вычета*Ставка_УСН*K114))</f>
        <v>0</v>
      </c>
      <c r="N114" s="156" t="n">
        <f aca="false">MAX(0,Ставка_УСН*L114-MIN(Взносы_вычет,Лимит_вычета*Ставка_УСН*L114))</f>
        <v>0</v>
      </c>
      <c r="O114" s="156" t="n">
        <f aca="false">I114+J114</f>
        <v>559540.78</v>
      </c>
      <c r="P114" s="156" t="n">
        <f aca="false">Комиссия_стора*J114</f>
        <v>44584.8</v>
      </c>
      <c r="Q114" s="36" t="n">
        <f aca="false">O114-P114-($D$78+H114)-$D$81-M114-N114</f>
        <v>41374.48</v>
      </c>
    </row>
    <row r="115" customFormat="false" ht="14.25" hidden="false" customHeight="false" outlineLevel="1" collapsed="false">
      <c r="B115" s="26" t="s">
        <v>598</v>
      </c>
      <c r="C115" s="157" t="n">
        <f aca="false">$B$24</f>
        <v>1.2</v>
      </c>
      <c r="D115" s="157" t="n">
        <f aca="false">D$20</f>
        <v>0.8</v>
      </c>
      <c r="E115" s="157" t="n">
        <f aca="false">D$20</f>
        <v>0.8</v>
      </c>
      <c r="F115" s="157" t="n">
        <f aca="false">1</f>
        <v>1</v>
      </c>
      <c r="G115" s="157" t="n">
        <f aca="false">1</f>
        <v>1</v>
      </c>
      <c r="H115" s="156" t="n">
        <f aca="false">0+(C115-1)*Энергия!$F$39</f>
        <v>8930.25</v>
      </c>
      <c r="I115" s="156" t="n">
        <f aca="false">C115*(D115*$D$72+E115*$D$73)</f>
        <v>349745.04</v>
      </c>
      <c r="J115" s="156" t="n">
        <f aca="false">G115*SUMPRODUCT(ROUND((Выручка!$H$13:$S$13*C115)*(Выручка!$H$28:$S$28*F115),0)*Выручка!$H$30:$S$30)</f>
        <v>297232</v>
      </c>
      <c r="K115" s="156" t="n">
        <f aca="false">C115*(D115*$D$74+E115*$D$76)+G115*SUMPRODUCT((YEAR(DATE(YEAR(Выручка!$H$7:$S$7),MONTH(Выручка!$H$7:$S$7)+Лаг_выручки,1))=$D$70)*(Выручка!$H$6:$S$6+Лаг_выручки&lt;=12)*ROUND((Выручка!$H$13:$S$13*C115)*(Выручка!$H$28:$S$28*F115),0)*Выручка!$H$30:$S$30)</f>
        <v>0</v>
      </c>
      <c r="L115" s="156" t="n">
        <f aca="false">C115*(D115*$D$75+E115*$D$77)+G115*SUMPRODUCT((YEAR(DATE(YEAR(Выручка!$H$7:$S$7),MONTH(Выручка!$H$7:$S$7)+Лаг_выручки,1))=$D$71)*(Выручка!$H$6:$S$6+Лаг_выручки&lt;=12)*ROUND((Выручка!$H$13:$S$13*C115)*(Выручка!$H$28:$S$28*F115),0)*Выручка!$H$30:$S$30)</f>
        <v>646977.04</v>
      </c>
      <c r="M115" s="156" t="n">
        <f aca="false">MAX(0,Ставка_УСН*K115-MIN(Взносы_вычет,Лимит_вычета*Ставка_УСН*K115))</f>
        <v>0</v>
      </c>
      <c r="N115" s="156" t="n">
        <f aca="false">MAX(0,Ставка_УСН*L115-MIN(Взносы_вычет,Лимит_вычета*Ставка_УСН*L115))</f>
        <v>0</v>
      </c>
      <c r="O115" s="156" t="n">
        <f aca="false">I115+J115</f>
        <v>646977.04</v>
      </c>
      <c r="P115" s="156" t="n">
        <f aca="false">Комиссия_стора*J115</f>
        <v>44584.8</v>
      </c>
      <c r="Q115" s="36" t="n">
        <f aca="false">O115-P115-($D$78+H115)-$D$81-M115-N115</f>
        <v>128810.74</v>
      </c>
    </row>
    <row r="116" customFormat="false" ht="14.25" hidden="false" customHeight="false" outlineLevel="1" collapsed="false">
      <c r="B116" s="26" t="s">
        <v>599</v>
      </c>
      <c r="C116" s="157" t="n">
        <f aca="false">$B$24</f>
        <v>1.2</v>
      </c>
      <c r="D116" s="157" t="n">
        <f aca="false">E$20</f>
        <v>1</v>
      </c>
      <c r="E116" s="157" t="n">
        <f aca="false">E$20</f>
        <v>1</v>
      </c>
      <c r="F116" s="157" t="n">
        <f aca="false">1</f>
        <v>1</v>
      </c>
      <c r="G116" s="157" t="n">
        <f aca="false">1</f>
        <v>1</v>
      </c>
      <c r="H116" s="156" t="n">
        <f aca="false">0+(C116-1)*Энергия!$F$39</f>
        <v>8930.25</v>
      </c>
      <c r="I116" s="156" t="n">
        <f aca="false">C116*(D116*$D$72+E116*$D$73)</f>
        <v>437181.3</v>
      </c>
      <c r="J116" s="156" t="n">
        <f aca="false">G116*SUMPRODUCT(ROUND((Выручка!$H$13:$S$13*C116)*(Выручка!$H$28:$S$28*F116),0)*Выручка!$H$30:$S$30)</f>
        <v>297232</v>
      </c>
      <c r="K116" s="156" t="n">
        <f aca="false">C116*(D116*$D$74+E116*$D$76)+G116*SUMPRODUCT((YEAR(DATE(YEAR(Выручка!$H$7:$S$7),MONTH(Выручка!$H$7:$S$7)+Лаг_выручки,1))=$D$70)*(Выручка!$H$6:$S$6+Лаг_выручки&lt;=12)*ROUND((Выручка!$H$13:$S$13*C116)*(Выручка!$H$28:$S$28*F116),0)*Выручка!$H$30:$S$30)</f>
        <v>0</v>
      </c>
      <c r="L116" s="156" t="n">
        <f aca="false">C116*(D116*$D$75+E116*$D$77)+G116*SUMPRODUCT((YEAR(DATE(YEAR(Выручка!$H$7:$S$7),MONTH(Выручка!$H$7:$S$7)+Лаг_выручки,1))=$D$71)*(Выручка!$H$6:$S$6+Лаг_выручки&lt;=12)*ROUND((Выручка!$H$13:$S$13*C116)*(Выручка!$H$28:$S$28*F116),0)*Выручка!$H$30:$S$30)</f>
        <v>734413.3</v>
      </c>
      <c r="M116" s="156" t="n">
        <f aca="false">MAX(0,Ставка_УСН*K116-MIN(Взносы_вычет,Лимит_вычета*Ставка_УСН*K116))</f>
        <v>0</v>
      </c>
      <c r="N116" s="156" t="n">
        <f aca="false">MAX(0,Ставка_УСН*L116-MIN(Взносы_вычет,Лимит_вычета*Ставка_УСН*L116))</f>
        <v>0</v>
      </c>
      <c r="O116" s="156" t="n">
        <f aca="false">I116+J116</f>
        <v>734413.3</v>
      </c>
      <c r="P116" s="156" t="n">
        <f aca="false">Комиссия_стора*J116</f>
        <v>44584.8</v>
      </c>
      <c r="Q116" s="36" t="n">
        <f aca="false">O116-P116-($D$78+H116)-$D$81-M116-N116</f>
        <v>216247</v>
      </c>
    </row>
    <row r="117" customFormat="false" ht="14.25" hidden="false" customHeight="false" outlineLevel="1" collapsed="false">
      <c r="B117" s="26" t="s">
        <v>600</v>
      </c>
      <c r="C117" s="157" t="n">
        <f aca="false">$B$24</f>
        <v>1.2</v>
      </c>
      <c r="D117" s="157" t="n">
        <f aca="false">F$20</f>
        <v>1.2</v>
      </c>
      <c r="E117" s="157" t="n">
        <f aca="false">F$20</f>
        <v>1.2</v>
      </c>
      <c r="F117" s="157" t="n">
        <f aca="false">1</f>
        <v>1</v>
      </c>
      <c r="G117" s="157" t="n">
        <f aca="false">1</f>
        <v>1</v>
      </c>
      <c r="H117" s="156" t="n">
        <f aca="false">0+(C117-1)*Энергия!$F$39</f>
        <v>8930.25</v>
      </c>
      <c r="I117" s="156" t="n">
        <f aca="false">C117*(D117*$D$72+E117*$D$73)</f>
        <v>524617.56</v>
      </c>
      <c r="J117" s="156" t="n">
        <f aca="false">G117*SUMPRODUCT(ROUND((Выручка!$H$13:$S$13*C117)*(Выручка!$H$28:$S$28*F117),0)*Выручка!$H$30:$S$30)</f>
        <v>297232</v>
      </c>
      <c r="K117" s="156" t="n">
        <f aca="false">C117*(D117*$D$74+E117*$D$76)+G117*SUMPRODUCT((YEAR(DATE(YEAR(Выручка!$H$7:$S$7),MONTH(Выручка!$H$7:$S$7)+Лаг_выручки,1))=$D$70)*(Выручка!$H$6:$S$6+Лаг_выручки&lt;=12)*ROUND((Выручка!$H$13:$S$13*C117)*(Выручка!$H$28:$S$28*F117),0)*Выручка!$H$30:$S$30)</f>
        <v>0</v>
      </c>
      <c r="L117" s="156" t="n">
        <f aca="false">C117*(D117*$D$75+E117*$D$77)+G117*SUMPRODUCT((YEAR(DATE(YEAR(Выручка!$H$7:$S$7),MONTH(Выручка!$H$7:$S$7)+Лаг_выручки,1))=$D$71)*(Выручка!$H$6:$S$6+Лаг_выручки&lt;=12)*ROUND((Выручка!$H$13:$S$13*C117)*(Выручка!$H$28:$S$28*F117),0)*Выручка!$H$30:$S$30)</f>
        <v>821849.56</v>
      </c>
      <c r="M117" s="156" t="n">
        <f aca="false">MAX(0,Ставка_УСН*K117-MIN(Взносы_вычет,Лимит_вычета*Ставка_УСН*K117))</f>
        <v>0</v>
      </c>
      <c r="N117" s="156" t="n">
        <f aca="false">MAX(0,Ставка_УСН*L117-MIN(Взносы_вычет,Лимит_вычета*Ставка_УСН*L117))</f>
        <v>0</v>
      </c>
      <c r="O117" s="156" t="n">
        <f aca="false">I117+J117</f>
        <v>821849.56</v>
      </c>
      <c r="P117" s="156" t="n">
        <f aca="false">Комиссия_стора*J117</f>
        <v>44584.8</v>
      </c>
      <c r="Q117" s="36" t="n">
        <f aca="false">O117-P117-($D$78+H117)-$D$81-M117-N117</f>
        <v>303683.26</v>
      </c>
    </row>
    <row r="118" customFormat="false" ht="14.25" hidden="false" customHeight="false" outlineLevel="1" collapsed="false">
      <c r="B118" s="26" t="s">
        <v>601</v>
      </c>
      <c r="C118" s="157" t="n">
        <f aca="false">$B$24</f>
        <v>1.2</v>
      </c>
      <c r="D118" s="157" t="n">
        <f aca="false">G$20</f>
        <v>1.4</v>
      </c>
      <c r="E118" s="157" t="n">
        <f aca="false">G$20</f>
        <v>1.4</v>
      </c>
      <c r="F118" s="157" t="n">
        <f aca="false">1</f>
        <v>1</v>
      </c>
      <c r="G118" s="157" t="n">
        <f aca="false">1</f>
        <v>1</v>
      </c>
      <c r="H118" s="156" t="n">
        <f aca="false">0+(C118-1)*Энергия!$F$39</f>
        <v>8930.25</v>
      </c>
      <c r="I118" s="156" t="n">
        <f aca="false">C118*(D118*$D$72+E118*$D$73)</f>
        <v>612053.82</v>
      </c>
      <c r="J118" s="156" t="n">
        <f aca="false">G118*SUMPRODUCT(ROUND((Выручка!$H$13:$S$13*C118)*(Выручка!$H$28:$S$28*F118),0)*Выручка!$H$30:$S$30)</f>
        <v>297232</v>
      </c>
      <c r="K118" s="156" t="n">
        <f aca="false">C118*(D118*$D$74+E118*$D$76)+G118*SUMPRODUCT((YEAR(DATE(YEAR(Выручка!$H$7:$S$7),MONTH(Выручка!$H$7:$S$7)+Лаг_выручки,1))=$D$70)*(Выручка!$H$6:$S$6+Лаг_выручки&lt;=12)*ROUND((Выручка!$H$13:$S$13*C118)*(Выручка!$H$28:$S$28*F118),0)*Выручка!$H$30:$S$30)</f>
        <v>0</v>
      </c>
      <c r="L118" s="156" t="n">
        <f aca="false">C118*(D118*$D$75+E118*$D$77)+G118*SUMPRODUCT((YEAR(DATE(YEAR(Выручка!$H$7:$S$7),MONTH(Выручка!$H$7:$S$7)+Лаг_выручки,1))=$D$71)*(Выручка!$H$6:$S$6+Лаг_выручки&lt;=12)*ROUND((Выручка!$H$13:$S$13*C118)*(Выручка!$H$28:$S$28*F118),0)*Выручка!$H$30:$S$30)</f>
        <v>909285.82</v>
      </c>
      <c r="M118" s="156" t="n">
        <f aca="false">MAX(0,Ставка_УСН*K118-MIN(Взносы_вычет,Лимит_вычета*Ставка_УСН*K118))</f>
        <v>0</v>
      </c>
      <c r="N118" s="156" t="n">
        <f aca="false">MAX(0,Ставка_УСН*L118-MIN(Взносы_вычет,Лимит_вычета*Ставка_УСН*L118))</f>
        <v>557.149199999993</v>
      </c>
      <c r="O118" s="156" t="n">
        <f aca="false">I118+J118</f>
        <v>909285.82</v>
      </c>
      <c r="P118" s="156" t="n">
        <f aca="false">Комиссия_стора*J118</f>
        <v>44584.8</v>
      </c>
      <c r="Q118" s="36" t="n">
        <f aca="false">O118-P118-($D$78+H118)-$D$81-M118-N118</f>
        <v>390562.3708</v>
      </c>
    </row>
    <row r="119" customFormat="false" ht="14.25" hidden="false" customHeight="false" outlineLevel="1" collapsed="false">
      <c r="B119" s="26" t="s">
        <v>602</v>
      </c>
      <c r="C119" s="157" t="n">
        <f aca="false">$B$25</f>
        <v>1.4</v>
      </c>
      <c r="D119" s="157" t="n">
        <f aca="false">C$20</f>
        <v>0.6</v>
      </c>
      <c r="E119" s="157" t="n">
        <f aca="false">C$20</f>
        <v>0.6</v>
      </c>
      <c r="F119" s="157" t="n">
        <f aca="false">1</f>
        <v>1</v>
      </c>
      <c r="G119" s="157" t="n">
        <f aca="false">1</f>
        <v>1</v>
      </c>
      <c r="H119" s="156" t="n">
        <f aca="false">0+(C119-1)*Энергия!$F$39</f>
        <v>17860.5</v>
      </c>
      <c r="I119" s="156" t="n">
        <f aca="false">C119*(D119*$D$72+E119*$D$73)</f>
        <v>306026.91</v>
      </c>
      <c r="J119" s="156" t="n">
        <f aca="false">G119*SUMPRODUCT(ROUND((Выручка!$H$13:$S$13*C119)*(Выручка!$H$28:$S$28*F119),0)*Выручка!$H$30:$S$30)</f>
        <v>346611.2</v>
      </c>
      <c r="K119" s="156" t="n">
        <f aca="false">C119*(D119*$D$74+E119*$D$76)+G119*SUMPRODUCT((YEAR(DATE(YEAR(Выручка!$H$7:$S$7),MONTH(Выручка!$H$7:$S$7)+Лаг_выручки,1))=$D$70)*(Выручка!$H$6:$S$6+Лаг_выручки&lt;=12)*ROUND((Выручка!$H$13:$S$13*C119)*(Выручка!$H$28:$S$28*F119),0)*Выручка!$H$30:$S$30)</f>
        <v>0</v>
      </c>
      <c r="L119" s="156" t="n">
        <f aca="false">C119*(D119*$D$75+E119*$D$77)+G119*SUMPRODUCT((YEAR(DATE(YEAR(Выручка!$H$7:$S$7),MONTH(Выручка!$H$7:$S$7)+Лаг_выручки,1))=$D$71)*(Выручка!$H$6:$S$6+Лаг_выручки&lt;=12)*ROUND((Выручка!$H$13:$S$13*C119)*(Выручка!$H$28:$S$28*F119),0)*Выручка!$H$30:$S$30)</f>
        <v>652638.11</v>
      </c>
      <c r="M119" s="156" t="n">
        <f aca="false">MAX(0,Ставка_УСН*K119-MIN(Взносы_вычет,Лимит_вычета*Ставка_УСН*K119))</f>
        <v>0</v>
      </c>
      <c r="N119" s="156" t="n">
        <f aca="false">MAX(0,Ставка_УСН*L119-MIN(Взносы_вычет,Лимит_вычета*Ставка_УСН*L119))</f>
        <v>0</v>
      </c>
      <c r="O119" s="156" t="n">
        <f aca="false">I119+J119</f>
        <v>652638.11</v>
      </c>
      <c r="P119" s="156" t="n">
        <f aca="false">Комиссия_стора*J119</f>
        <v>51991.68</v>
      </c>
      <c r="Q119" s="36" t="n">
        <f aca="false">O119-P119-($D$78+H119)-$D$81-M119-N119</f>
        <v>118134.68</v>
      </c>
    </row>
    <row r="120" customFormat="false" ht="14.25" hidden="false" customHeight="false" outlineLevel="1" collapsed="false">
      <c r="B120" s="26" t="s">
        <v>603</v>
      </c>
      <c r="C120" s="157" t="n">
        <f aca="false">$B$25</f>
        <v>1.4</v>
      </c>
      <c r="D120" s="157" t="n">
        <f aca="false">D$20</f>
        <v>0.8</v>
      </c>
      <c r="E120" s="157" t="n">
        <f aca="false">D$20</f>
        <v>0.8</v>
      </c>
      <c r="F120" s="157" t="n">
        <f aca="false">1</f>
        <v>1</v>
      </c>
      <c r="G120" s="157" t="n">
        <f aca="false">1</f>
        <v>1</v>
      </c>
      <c r="H120" s="156" t="n">
        <f aca="false">0+(C120-1)*Энергия!$F$39</f>
        <v>17860.5</v>
      </c>
      <c r="I120" s="156" t="n">
        <f aca="false">C120*(D120*$D$72+E120*$D$73)</f>
        <v>408035.88</v>
      </c>
      <c r="J120" s="156" t="n">
        <f aca="false">G120*SUMPRODUCT(ROUND((Выручка!$H$13:$S$13*C120)*(Выручка!$H$28:$S$28*F120),0)*Выручка!$H$30:$S$30)</f>
        <v>346611.2</v>
      </c>
      <c r="K120" s="156" t="n">
        <f aca="false">C120*(D120*$D$74+E120*$D$76)+G120*SUMPRODUCT((YEAR(DATE(YEAR(Выручка!$H$7:$S$7),MONTH(Выручка!$H$7:$S$7)+Лаг_выручки,1))=$D$70)*(Выручка!$H$6:$S$6+Лаг_выручки&lt;=12)*ROUND((Выручка!$H$13:$S$13*C120)*(Выручка!$H$28:$S$28*F120),0)*Выручка!$H$30:$S$30)</f>
        <v>0</v>
      </c>
      <c r="L120" s="156" t="n">
        <f aca="false">C120*(D120*$D$75+E120*$D$77)+G120*SUMPRODUCT((YEAR(DATE(YEAR(Выручка!$H$7:$S$7),MONTH(Выручка!$H$7:$S$7)+Лаг_выручки,1))=$D$71)*(Выручка!$H$6:$S$6+Лаг_выручки&lt;=12)*ROUND((Выручка!$H$13:$S$13*C120)*(Выручка!$H$28:$S$28*F120),0)*Выручка!$H$30:$S$30)</f>
        <v>754647.08</v>
      </c>
      <c r="M120" s="156" t="n">
        <f aca="false">MAX(0,Ставка_УСН*K120-MIN(Взносы_вычет,Лимит_вычета*Ставка_УСН*K120))</f>
        <v>0</v>
      </c>
      <c r="N120" s="156" t="n">
        <f aca="false">MAX(0,Ставка_УСН*L120-MIN(Взносы_вычет,Лимит_вычета*Ставка_УСН*L120))</f>
        <v>0</v>
      </c>
      <c r="O120" s="156" t="n">
        <f aca="false">I120+J120</f>
        <v>754647.08</v>
      </c>
      <c r="P120" s="156" t="n">
        <f aca="false">Комиссия_стора*J120</f>
        <v>51991.68</v>
      </c>
      <c r="Q120" s="36" t="n">
        <f aca="false">O120-P120-($D$78+H120)-$D$81-M120-N120</f>
        <v>220143.65</v>
      </c>
    </row>
    <row r="121" customFormat="false" ht="14.25" hidden="false" customHeight="false" outlineLevel="1" collapsed="false">
      <c r="B121" s="26" t="s">
        <v>604</v>
      </c>
      <c r="C121" s="157" t="n">
        <f aca="false">$B$25</f>
        <v>1.4</v>
      </c>
      <c r="D121" s="157" t="n">
        <f aca="false">E$20</f>
        <v>1</v>
      </c>
      <c r="E121" s="157" t="n">
        <f aca="false">E$20</f>
        <v>1</v>
      </c>
      <c r="F121" s="157" t="n">
        <f aca="false">1</f>
        <v>1</v>
      </c>
      <c r="G121" s="157" t="n">
        <f aca="false">1</f>
        <v>1</v>
      </c>
      <c r="H121" s="156" t="n">
        <f aca="false">0+(C121-1)*Энергия!$F$39</f>
        <v>17860.5</v>
      </c>
      <c r="I121" s="156" t="n">
        <f aca="false">C121*(D121*$D$72+E121*$D$73)</f>
        <v>510044.85</v>
      </c>
      <c r="J121" s="156" t="n">
        <f aca="false">G121*SUMPRODUCT(ROUND((Выручка!$H$13:$S$13*C121)*(Выручка!$H$28:$S$28*F121),0)*Выручка!$H$30:$S$30)</f>
        <v>346611.2</v>
      </c>
      <c r="K121" s="156" t="n">
        <f aca="false">C121*(D121*$D$74+E121*$D$76)+G121*SUMPRODUCT((YEAR(DATE(YEAR(Выручка!$H$7:$S$7),MONTH(Выручка!$H$7:$S$7)+Лаг_выручки,1))=$D$70)*(Выручка!$H$6:$S$6+Лаг_выручки&lt;=12)*ROUND((Выручка!$H$13:$S$13*C121)*(Выручка!$H$28:$S$28*F121),0)*Выручка!$H$30:$S$30)</f>
        <v>0</v>
      </c>
      <c r="L121" s="156" t="n">
        <f aca="false">C121*(D121*$D$75+E121*$D$77)+G121*SUMPRODUCT((YEAR(DATE(YEAR(Выручка!$H$7:$S$7),MONTH(Выручка!$H$7:$S$7)+Лаг_выручки,1))=$D$71)*(Выручка!$H$6:$S$6+Лаг_выручки&lt;=12)*ROUND((Выручка!$H$13:$S$13*C121)*(Выручка!$H$28:$S$28*F121),0)*Выручка!$H$30:$S$30)</f>
        <v>856656.05</v>
      </c>
      <c r="M121" s="156" t="n">
        <f aca="false">MAX(0,Ставка_УСН*K121-MIN(Взносы_вычет,Лимит_вычета*Ставка_УСН*K121))</f>
        <v>0</v>
      </c>
      <c r="N121" s="156" t="n">
        <f aca="false">MAX(0,Ставка_УСН*L121-MIN(Взносы_вычет,Лимит_вычета*Ставка_УСН*L121))</f>
        <v>0</v>
      </c>
      <c r="O121" s="156" t="n">
        <f aca="false">I121+J121</f>
        <v>856656.05</v>
      </c>
      <c r="P121" s="156" t="n">
        <f aca="false">Комиссия_стора*J121</f>
        <v>51991.68</v>
      </c>
      <c r="Q121" s="36" t="n">
        <f aca="false">O121-P121-($D$78+H121)-$D$81-M121-N121</f>
        <v>322152.62</v>
      </c>
    </row>
    <row r="122" customFormat="false" ht="14.25" hidden="false" customHeight="false" outlineLevel="1" collapsed="false">
      <c r="B122" s="26" t="s">
        <v>605</v>
      </c>
      <c r="C122" s="157" t="n">
        <f aca="false">$B$25</f>
        <v>1.4</v>
      </c>
      <c r="D122" s="157" t="n">
        <f aca="false">F$20</f>
        <v>1.2</v>
      </c>
      <c r="E122" s="157" t="n">
        <f aca="false">F$20</f>
        <v>1.2</v>
      </c>
      <c r="F122" s="157" t="n">
        <f aca="false">1</f>
        <v>1</v>
      </c>
      <c r="G122" s="157" t="n">
        <f aca="false">1</f>
        <v>1</v>
      </c>
      <c r="H122" s="156" t="n">
        <f aca="false">0+(C122-1)*Энергия!$F$39</f>
        <v>17860.5</v>
      </c>
      <c r="I122" s="156" t="n">
        <f aca="false">C122*(D122*$D$72+E122*$D$73)</f>
        <v>612053.82</v>
      </c>
      <c r="J122" s="156" t="n">
        <f aca="false">G122*SUMPRODUCT(ROUND((Выручка!$H$13:$S$13*C122)*(Выручка!$H$28:$S$28*F122),0)*Выручка!$H$30:$S$30)</f>
        <v>346611.2</v>
      </c>
      <c r="K122" s="156" t="n">
        <f aca="false">C122*(D122*$D$74+E122*$D$76)+G122*SUMPRODUCT((YEAR(DATE(YEAR(Выручка!$H$7:$S$7),MONTH(Выручка!$H$7:$S$7)+Лаг_выручки,1))=$D$70)*(Выручка!$H$6:$S$6+Лаг_выручки&lt;=12)*ROUND((Выручка!$H$13:$S$13*C122)*(Выручка!$H$28:$S$28*F122),0)*Выручка!$H$30:$S$30)</f>
        <v>0</v>
      </c>
      <c r="L122" s="156" t="n">
        <f aca="false">C122*(D122*$D$75+E122*$D$77)+G122*SUMPRODUCT((YEAR(DATE(YEAR(Выручка!$H$7:$S$7),MONTH(Выручка!$H$7:$S$7)+Лаг_выручки,1))=$D$71)*(Выручка!$H$6:$S$6+Лаг_выручки&lt;=12)*ROUND((Выручка!$H$13:$S$13*C122)*(Выручка!$H$28:$S$28*F122),0)*Выручка!$H$30:$S$30)</f>
        <v>958665.02</v>
      </c>
      <c r="M122" s="156" t="n">
        <f aca="false">MAX(0,Ставка_УСН*K122-MIN(Взносы_вычет,Лимит_вычета*Ставка_УСН*K122))</f>
        <v>0</v>
      </c>
      <c r="N122" s="156" t="n">
        <f aca="false">MAX(0,Ставка_УСН*L122-MIN(Взносы_вычет,Лимит_вычета*Ставка_УСН*L122))</f>
        <v>3519.9012</v>
      </c>
      <c r="O122" s="156" t="n">
        <f aca="false">I122+J122</f>
        <v>958665.02</v>
      </c>
      <c r="P122" s="156" t="n">
        <f aca="false">Комиссия_стора*J122</f>
        <v>51991.68</v>
      </c>
      <c r="Q122" s="36" t="n">
        <f aca="false">O122-P122-($D$78+H122)-$D$81-M122-N122</f>
        <v>420641.6888</v>
      </c>
    </row>
    <row r="123" customFormat="false" ht="14.25" hidden="false" customHeight="false" outlineLevel="1" collapsed="false">
      <c r="B123" s="26" t="s">
        <v>606</v>
      </c>
      <c r="C123" s="157" t="n">
        <f aca="false">$B$25</f>
        <v>1.4</v>
      </c>
      <c r="D123" s="157" t="n">
        <f aca="false">G$20</f>
        <v>1.4</v>
      </c>
      <c r="E123" s="157" t="n">
        <f aca="false">G$20</f>
        <v>1.4</v>
      </c>
      <c r="F123" s="157" t="n">
        <f aca="false">1</f>
        <v>1</v>
      </c>
      <c r="G123" s="157" t="n">
        <f aca="false">1</f>
        <v>1</v>
      </c>
      <c r="H123" s="156" t="n">
        <f aca="false">0+(C123-1)*Энергия!$F$39</f>
        <v>17860.5</v>
      </c>
      <c r="I123" s="156" t="n">
        <f aca="false">C123*(D123*$D$72+E123*$D$73)</f>
        <v>714062.79</v>
      </c>
      <c r="J123" s="156" t="n">
        <f aca="false">G123*SUMPRODUCT(ROUND((Выручка!$H$13:$S$13*C123)*(Выручка!$H$28:$S$28*F123),0)*Выручка!$H$30:$S$30)</f>
        <v>346611.2</v>
      </c>
      <c r="K123" s="156" t="n">
        <f aca="false">C123*(D123*$D$74+E123*$D$76)+G123*SUMPRODUCT((YEAR(DATE(YEAR(Выручка!$H$7:$S$7),MONTH(Выручка!$H$7:$S$7)+Лаг_выручки,1))=$D$70)*(Выручка!$H$6:$S$6+Лаг_выручки&lt;=12)*ROUND((Выручка!$H$13:$S$13*C123)*(Выручка!$H$28:$S$28*F123),0)*Выручка!$H$30:$S$30)</f>
        <v>0</v>
      </c>
      <c r="L123" s="156" t="n">
        <f aca="false">C123*(D123*$D$75+E123*$D$77)+G123*SUMPRODUCT((YEAR(DATE(YEAR(Выручка!$H$7:$S$7),MONTH(Выручка!$H$7:$S$7)+Лаг_выручки,1))=$D$71)*(Выручка!$H$6:$S$6+Лаг_выручки&lt;=12)*ROUND((Выручка!$H$13:$S$13*C123)*(Выручка!$H$28:$S$28*F123),0)*Выручка!$H$30:$S$30)</f>
        <v>1060673.99</v>
      </c>
      <c r="M123" s="156" t="n">
        <f aca="false">MAX(0,Ставка_УСН*K123-MIN(Взносы_вычет,Лимит_вычета*Ставка_УСН*K123))</f>
        <v>0</v>
      </c>
      <c r="N123" s="156" t="n">
        <f aca="false">MAX(0,Ставка_УСН*L123-MIN(Взносы_вычет,Лимит_вычета*Ставка_УСН*L123))</f>
        <v>9640.4394</v>
      </c>
      <c r="O123" s="156" t="n">
        <f aca="false">I123+J123</f>
        <v>1060673.99</v>
      </c>
      <c r="P123" s="156" t="n">
        <f aca="false">Комиссия_стора*J123</f>
        <v>51991.68</v>
      </c>
      <c r="Q123" s="36" t="n">
        <f aca="false">O123-P123-($D$78+H123)-$D$81-M123-N123</f>
        <v>516530.1206</v>
      </c>
    </row>
    <row r="124" customFormat="false" ht="14.25" hidden="false" customHeight="false" outlineLevel="1" collapsed="false">
      <c r="B124" s="26" t="s">
        <v>607</v>
      </c>
      <c r="C124" s="157" t="n">
        <f aca="false">1</f>
        <v>1</v>
      </c>
      <c r="D124" s="157" t="n">
        <f aca="false">IFERROR(C$30/DAU_MAU,0)</f>
        <v>3.33333333333333</v>
      </c>
      <c r="E124" s="157" t="n">
        <f aca="false">IFERROR(C$30/DAU_MAU,0)</f>
        <v>3.33333333333333</v>
      </c>
      <c r="F124" s="157" t="n">
        <f aca="false">1</f>
        <v>1</v>
      </c>
      <c r="G124" s="157" t="n">
        <f aca="false">1</f>
        <v>1</v>
      </c>
      <c r="H124" s="156" t="n">
        <f aca="false">0+(C124*D124-1)*Энергия!$F$39</f>
        <v>104186.25</v>
      </c>
      <c r="I124" s="156" t="n">
        <f aca="false">C124*(D124*$D$72+E124*$D$73)</f>
        <v>1214392.5</v>
      </c>
      <c r="J124" s="156" t="n">
        <f aca="false">G124*SUMPRODUCT(ROUND((Выручка!$H$13:$S$13*C124)*(Выручка!$H$28:$S$28*F124),0)*Выручка!$H$30:$S$30)</f>
        <v>248198.4</v>
      </c>
      <c r="K124" s="156" t="n">
        <f aca="false">C124*(D124*$D$74+E124*$D$76)+G124*SUMPRODUCT((YEAR(DATE(YEAR(Выручка!$H$7:$S$7),MONTH(Выручка!$H$7:$S$7)+Лаг_выручки,1))=$D$70)*(Выручка!$H$6:$S$6+Лаг_выручки&lt;=12)*ROUND((Выручка!$H$13:$S$13*C124)*(Выручка!$H$28:$S$28*F124),0)*Выручка!$H$30:$S$30)</f>
        <v>0</v>
      </c>
      <c r="L124" s="156" t="n">
        <f aca="false">C124*(D124*$D$75+E124*$D$77)+G124*SUMPRODUCT((YEAR(DATE(YEAR(Выручка!$H$7:$S$7),MONTH(Выручка!$H$7:$S$7)+Лаг_выручки,1))=$D$71)*(Выручка!$H$6:$S$6+Лаг_выручки&lt;=12)*ROUND((Выручка!$H$13:$S$13*C124)*(Выручка!$H$28:$S$28*F124),0)*Выручка!$H$30:$S$30)</f>
        <v>1462590.9</v>
      </c>
      <c r="M124" s="156" t="n">
        <f aca="false">MAX(0,Ставка_УСН*K124-MIN(Взносы_вычет,Лимит_вычета*Ставка_УСН*K124))</f>
        <v>0</v>
      </c>
      <c r="N124" s="156" t="n">
        <f aca="false">MAX(0,Ставка_УСН*L124-MIN(Взносы_вычет,Лимит_вычета*Ставка_УСН*L124))</f>
        <v>33755.454</v>
      </c>
      <c r="O124" s="156" t="n">
        <f aca="false">I124+J124</f>
        <v>1462590.9</v>
      </c>
      <c r="P124" s="156" t="n">
        <f aca="false">Комиссия_стора*J124</f>
        <v>37229.76</v>
      </c>
      <c r="Q124" s="36" t="n">
        <f aca="false">O124-P124-($D$78+H124)-$D$81-M124-N124</f>
        <v>822768.186</v>
      </c>
    </row>
    <row r="125" customFormat="false" ht="14.25" hidden="false" customHeight="false" outlineLevel="1" collapsed="false">
      <c r="B125" s="26" t="s">
        <v>608</v>
      </c>
      <c r="C125" s="157" t="n">
        <f aca="false">1</f>
        <v>1</v>
      </c>
      <c r="D125" s="157" t="n">
        <f aca="false">IFERROR(D$30/DAU_MAU,0)</f>
        <v>2.5</v>
      </c>
      <c r="E125" s="157" t="n">
        <f aca="false">IFERROR(D$30/DAU_MAU,0)</f>
        <v>2.5</v>
      </c>
      <c r="F125" s="157" t="n">
        <f aca="false">1</f>
        <v>1</v>
      </c>
      <c r="G125" s="157" t="n">
        <f aca="false">1</f>
        <v>1</v>
      </c>
      <c r="H125" s="156" t="n">
        <f aca="false">0+(C125*D125-1)*Энергия!$F$39</f>
        <v>66976.875</v>
      </c>
      <c r="I125" s="156" t="n">
        <f aca="false">C125*(D125*$D$72+E125*$D$73)</f>
        <v>910794.375</v>
      </c>
      <c r="J125" s="156" t="n">
        <f aca="false">G125*SUMPRODUCT(ROUND((Выручка!$H$13:$S$13*C125)*(Выручка!$H$28:$S$28*F125),0)*Выручка!$H$30:$S$30)</f>
        <v>248198.4</v>
      </c>
      <c r="K125" s="156" t="n">
        <f aca="false">C125*(D125*$D$74+E125*$D$76)+G125*SUMPRODUCT((YEAR(DATE(YEAR(Выручка!$H$7:$S$7),MONTH(Выручка!$H$7:$S$7)+Лаг_выручки,1))=$D$70)*(Выручка!$H$6:$S$6+Лаг_выручки&lt;=12)*ROUND((Выручка!$H$13:$S$13*C125)*(Выручка!$H$28:$S$28*F125),0)*Выручка!$H$30:$S$30)</f>
        <v>0</v>
      </c>
      <c r="L125" s="156" t="n">
        <f aca="false">C125*(D125*$D$75+E125*$D$77)+G125*SUMPRODUCT((YEAR(DATE(YEAR(Выручка!$H$7:$S$7),MONTH(Выручка!$H$7:$S$7)+Лаг_выручки,1))=$D$71)*(Выручка!$H$6:$S$6+Лаг_выручки&lt;=12)*ROUND((Выручка!$H$13:$S$13*C125)*(Выручка!$H$28:$S$28*F125),0)*Выручка!$H$30:$S$30)</f>
        <v>1158992.775</v>
      </c>
      <c r="M125" s="156" t="n">
        <f aca="false">MAX(0,Ставка_УСН*K125-MIN(Взносы_вычет,Лимит_вычета*Ставка_УСН*K125))</f>
        <v>0</v>
      </c>
      <c r="N125" s="156" t="n">
        <f aca="false">MAX(0,Ставка_УСН*L125-MIN(Взносы_вычет,Лимит_вычета*Ставка_УСН*L125))</f>
        <v>15539.5665</v>
      </c>
      <c r="O125" s="156" t="n">
        <f aca="false">I125+J125</f>
        <v>1158992.775</v>
      </c>
      <c r="P125" s="156" t="n">
        <f aca="false">Комиссия_стора*J125</f>
        <v>37229.76</v>
      </c>
      <c r="Q125" s="36" t="n">
        <f aca="false">O125-P125-($D$78+H125)-$D$81-M125-N125</f>
        <v>574595.3235</v>
      </c>
    </row>
    <row r="126" customFormat="false" ht="14.25" hidden="false" customHeight="false" outlineLevel="1" collapsed="false">
      <c r="B126" s="26" t="s">
        <v>609</v>
      </c>
      <c r="C126" s="157" t="n">
        <f aca="false">1</f>
        <v>1</v>
      </c>
      <c r="D126" s="157" t="n">
        <f aca="false">IFERROR(E$30/DAU_MAU,0)</f>
        <v>1.66666666666667</v>
      </c>
      <c r="E126" s="157" t="n">
        <f aca="false">IFERROR(E$30/DAU_MAU,0)</f>
        <v>1.66666666666667</v>
      </c>
      <c r="F126" s="157" t="n">
        <f aca="false">1</f>
        <v>1</v>
      </c>
      <c r="G126" s="157" t="n">
        <f aca="false">1</f>
        <v>1</v>
      </c>
      <c r="H126" s="156" t="n">
        <f aca="false">0+(C126*D126-1)*Энергия!$F$39</f>
        <v>29767.5</v>
      </c>
      <c r="I126" s="156" t="n">
        <f aca="false">C126*(D126*$D$72+E126*$D$73)</f>
        <v>607196.25</v>
      </c>
      <c r="J126" s="156" t="n">
        <f aca="false">G126*SUMPRODUCT(ROUND((Выручка!$H$13:$S$13*C126)*(Выручка!$H$28:$S$28*F126),0)*Выручка!$H$30:$S$30)</f>
        <v>248198.4</v>
      </c>
      <c r="K126" s="156" t="n">
        <f aca="false">C126*(D126*$D$74+E126*$D$76)+G126*SUMPRODUCT((YEAR(DATE(YEAR(Выручка!$H$7:$S$7),MONTH(Выручка!$H$7:$S$7)+Лаг_выручки,1))=$D$70)*(Выручка!$H$6:$S$6+Лаг_выручки&lt;=12)*ROUND((Выручка!$H$13:$S$13*C126)*(Выручка!$H$28:$S$28*F126),0)*Выручка!$H$30:$S$30)</f>
        <v>0</v>
      </c>
      <c r="L126" s="156" t="n">
        <f aca="false">C126*(D126*$D$75+E126*$D$77)+G126*SUMPRODUCT((YEAR(DATE(YEAR(Выручка!$H$7:$S$7),MONTH(Выручка!$H$7:$S$7)+Лаг_выручки,1))=$D$71)*(Выручка!$H$6:$S$6+Лаг_выручки&lt;=12)*ROUND((Выручка!$H$13:$S$13*C126)*(Выручка!$H$28:$S$28*F126),0)*Выручка!$H$30:$S$30)</f>
        <v>855394.65</v>
      </c>
      <c r="M126" s="156" t="n">
        <f aca="false">MAX(0,Ставка_УСН*K126-MIN(Взносы_вычет,Лимит_вычета*Ставка_УСН*K126))</f>
        <v>0</v>
      </c>
      <c r="N126" s="156" t="n">
        <f aca="false">MAX(0,Ставка_УСН*L126-MIN(Взносы_вычет,Лимит_вычета*Ставка_УСН*L126))</f>
        <v>0</v>
      </c>
      <c r="O126" s="156" t="n">
        <f aca="false">I126+J126</f>
        <v>855394.65</v>
      </c>
      <c r="P126" s="156" t="n">
        <f aca="false">Комиссия_стора*J126</f>
        <v>37229.76</v>
      </c>
      <c r="Q126" s="36" t="n">
        <f aca="false">O126-P126-($D$78+H126)-$D$81-M126-N126</f>
        <v>323746.14</v>
      </c>
    </row>
    <row r="127" customFormat="false" ht="14.25" hidden="false" customHeight="false" outlineLevel="1" collapsed="false">
      <c r="B127" s="26" t="s">
        <v>610</v>
      </c>
      <c r="C127" s="157" t="n">
        <f aca="false">1</f>
        <v>1</v>
      </c>
      <c r="D127" s="157" t="n">
        <f aca="false">IFERROR(F$30/DAU_MAU,0)</f>
        <v>1</v>
      </c>
      <c r="E127" s="157" t="n">
        <f aca="false">IFERROR(F$30/DAU_MAU,0)</f>
        <v>1</v>
      </c>
      <c r="F127" s="157" t="n">
        <f aca="false">1</f>
        <v>1</v>
      </c>
      <c r="G127" s="157" t="n">
        <f aca="false">1</f>
        <v>1</v>
      </c>
      <c r="H127" s="156" t="n">
        <f aca="false">0+(C127*D127-1)*Энергия!$F$39</f>
        <v>0</v>
      </c>
      <c r="I127" s="156" t="n">
        <f aca="false">C127*(D127*$D$72+E127*$D$73)</f>
        <v>364317.75</v>
      </c>
      <c r="J127" s="156" t="n">
        <f aca="false">G127*SUMPRODUCT(ROUND((Выручка!$H$13:$S$13*C127)*(Выручка!$H$28:$S$28*F127),0)*Выручка!$H$30:$S$30)</f>
        <v>248198.4</v>
      </c>
      <c r="K127" s="156" t="n">
        <f aca="false">C127*(D127*$D$74+E127*$D$76)+G127*SUMPRODUCT((YEAR(DATE(YEAR(Выручка!$H$7:$S$7),MONTH(Выручка!$H$7:$S$7)+Лаг_выручки,1))=$D$70)*(Выручка!$H$6:$S$6+Лаг_выручки&lt;=12)*ROUND((Выручка!$H$13:$S$13*C127)*(Выручка!$H$28:$S$28*F127),0)*Выручка!$H$30:$S$30)</f>
        <v>0</v>
      </c>
      <c r="L127" s="156" t="n">
        <f aca="false">C127*(D127*$D$75+E127*$D$77)+G127*SUMPRODUCT((YEAR(DATE(YEAR(Выручка!$H$7:$S$7),MONTH(Выручка!$H$7:$S$7)+Лаг_выручки,1))=$D$71)*(Выручка!$H$6:$S$6+Лаг_выручки&lt;=12)*ROUND((Выручка!$H$13:$S$13*C127)*(Выручка!$H$28:$S$28*F127),0)*Выручка!$H$30:$S$30)</f>
        <v>612516.15</v>
      </c>
      <c r="M127" s="156" t="n">
        <f aca="false">MAX(0,Ставка_УСН*K127-MIN(Взносы_вычет,Лимит_вычета*Ставка_УСН*K127))</f>
        <v>0</v>
      </c>
      <c r="N127" s="156" t="n">
        <f aca="false">MAX(0,Ставка_УСН*L127-MIN(Взносы_вычет,Лимит_вычета*Ставка_УСН*L127))</f>
        <v>0</v>
      </c>
      <c r="O127" s="156" t="n">
        <f aca="false">I127+J127</f>
        <v>612516.15</v>
      </c>
      <c r="P127" s="156" t="n">
        <f aca="false">Комиссия_стора*J127</f>
        <v>37229.76</v>
      </c>
      <c r="Q127" s="36" t="n">
        <f aca="false">O127-P127-($D$78+H127)-$D$81-M127-N127</f>
        <v>110635.14</v>
      </c>
    </row>
    <row r="128" customFormat="false" ht="14.25" hidden="false" customHeight="false" outlineLevel="1" collapsed="false">
      <c r="B128" s="26" t="s">
        <v>611</v>
      </c>
      <c r="C128" s="157" t="n">
        <f aca="false">1</f>
        <v>1</v>
      </c>
      <c r="D128" s="157" t="n">
        <f aca="false">IFERROR(G$30/DAU_MAU,0)</f>
        <v>0.666666666666667</v>
      </c>
      <c r="E128" s="157" t="n">
        <f aca="false">IFERROR(G$30/DAU_MAU,0)</f>
        <v>0.666666666666667</v>
      </c>
      <c r="F128" s="157" t="n">
        <f aca="false">1</f>
        <v>1</v>
      </c>
      <c r="G128" s="157" t="n">
        <f aca="false">1</f>
        <v>1</v>
      </c>
      <c r="H128" s="156" t="n">
        <f aca="false">0+(C128*D128-1)*Энергия!$F$39</f>
        <v>-14883.75</v>
      </c>
      <c r="I128" s="156" t="n">
        <f aca="false">C128*(D128*$D$72+E128*$D$73)</f>
        <v>242878.5</v>
      </c>
      <c r="J128" s="156" t="n">
        <f aca="false">G128*SUMPRODUCT(ROUND((Выручка!$H$13:$S$13*C128)*(Выручка!$H$28:$S$28*F128),0)*Выручка!$H$30:$S$30)</f>
        <v>248198.4</v>
      </c>
      <c r="K128" s="156" t="n">
        <f aca="false">C128*(D128*$D$74+E128*$D$76)+G128*SUMPRODUCT((YEAR(DATE(YEAR(Выручка!$H$7:$S$7),MONTH(Выручка!$H$7:$S$7)+Лаг_выручки,1))=$D$70)*(Выручка!$H$6:$S$6+Лаг_выручки&lt;=12)*ROUND((Выручка!$H$13:$S$13*C128)*(Выручка!$H$28:$S$28*F128),0)*Выручка!$H$30:$S$30)</f>
        <v>0</v>
      </c>
      <c r="L128" s="156" t="n">
        <f aca="false">C128*(D128*$D$75+E128*$D$77)+G128*SUMPRODUCT((YEAR(DATE(YEAR(Выручка!$H$7:$S$7),MONTH(Выручка!$H$7:$S$7)+Лаг_выручки,1))=$D$71)*(Выручка!$H$6:$S$6+Лаг_выручки&lt;=12)*ROUND((Выручка!$H$13:$S$13*C128)*(Выручка!$H$28:$S$28*F128),0)*Выручка!$H$30:$S$30)</f>
        <v>491076.9</v>
      </c>
      <c r="M128" s="156" t="n">
        <f aca="false">MAX(0,Ставка_УСН*K128-MIN(Взносы_вычет,Лимит_вычета*Ставка_УСН*K128))</f>
        <v>0</v>
      </c>
      <c r="N128" s="156" t="n">
        <f aca="false">MAX(0,Ставка_УСН*L128-MIN(Взносы_вычет,Лимит_вычета*Ставка_УСН*L128))</f>
        <v>0</v>
      </c>
      <c r="O128" s="156" t="n">
        <f aca="false">I128+J128</f>
        <v>491076.9</v>
      </c>
      <c r="P128" s="156" t="n">
        <f aca="false">Комиссия_стора*J128</f>
        <v>37229.76</v>
      </c>
      <c r="Q128" s="36" t="n">
        <f aca="false">O128-P128-($D$78+H128)-$D$81-M128-N128</f>
        <v>4079.64000000007</v>
      </c>
    </row>
    <row r="129" customFormat="false" ht="14.25" hidden="false" customHeight="false" outlineLevel="1" collapsed="false">
      <c r="B129" s="26" t="s">
        <v>612</v>
      </c>
      <c r="C129" s="157" t="n">
        <f aca="false">1</f>
        <v>1</v>
      </c>
      <c r="D129" s="157" t="n">
        <f aca="false">IFERROR(0.3/DAU_MAU,0)</f>
        <v>1</v>
      </c>
      <c r="E129" s="157" t="n">
        <f aca="false">IFERROR(0.3/DAU_MAU,0)</f>
        <v>1</v>
      </c>
      <c r="F129" s="157" t="n">
        <f aca="false">1</f>
        <v>1</v>
      </c>
      <c r="G129" s="157" t="n">
        <f aca="false">1</f>
        <v>1</v>
      </c>
      <c r="H129" s="156" t="n">
        <f aca="false">0+(C129*D129-1)*Энергия!$F$39</f>
        <v>0</v>
      </c>
      <c r="I129" s="156" t="n">
        <f aca="false">C129*(D129*$D$72+E129*$D$73)</f>
        <v>364317.75</v>
      </c>
      <c r="J129" s="156" t="n">
        <f aca="false">G129*SUMPRODUCT(ROUND((Выручка!$H$13:$S$13*C129)*(Выручка!$H$28:$S$28*F129),0)*Выручка!$H$30:$S$30)</f>
        <v>248198.4</v>
      </c>
      <c r="K129" s="156" t="n">
        <f aca="false">C129*(D129*$D$74+E129*$D$76)+G129*SUMPRODUCT((YEAR(DATE(YEAR(Выручка!$H$7:$S$7),MONTH(Выручка!$H$7:$S$7)+Лаг_выручки,1))=$D$70)*(Выручка!$H$6:$S$6+Лаг_выручки&lt;=12)*ROUND((Выручка!$H$13:$S$13*C129)*(Выручка!$H$28:$S$28*F129),0)*Выручка!$H$30:$S$30)</f>
        <v>0</v>
      </c>
      <c r="L129" s="156" t="n">
        <f aca="false">C129*(D129*$D$75+E129*$D$77)+G129*SUMPRODUCT((YEAR(DATE(YEAR(Выручка!$H$7:$S$7),MONTH(Выручка!$H$7:$S$7)+Лаг_выручки,1))=$D$71)*(Выручка!$H$6:$S$6+Лаг_выручки&lt;=12)*ROUND((Выручка!$H$13:$S$13*C129)*(Выручка!$H$28:$S$28*F129),0)*Выручка!$H$30:$S$30)</f>
        <v>612516.15</v>
      </c>
      <c r="M129" s="156" t="n">
        <f aca="false">MAX(0,Ставка_УСН*K129-MIN(Взносы_вычет,Лимит_вычета*Ставка_УСН*K129))</f>
        <v>0</v>
      </c>
      <c r="N129" s="156" t="n">
        <f aca="false">MAX(0,Ставка_УСН*L129-MIN(Взносы_вычет,Лимит_вычета*Ставка_УСН*L129))</f>
        <v>0</v>
      </c>
      <c r="O129" s="156" t="n">
        <f aca="false">I129+J129</f>
        <v>612516.15</v>
      </c>
      <c r="P129" s="156" t="n">
        <f aca="false">Комиссия_стора*J129</f>
        <v>37229.76</v>
      </c>
      <c r="Q129" s="36" t="n">
        <f aca="false">O129-P129-($D$78+H129)-$D$81-M129-N129</f>
        <v>110635.14</v>
      </c>
    </row>
    <row r="130" customFormat="false" ht="14.25" hidden="false" customHeight="false" outlineLevel="1" collapsed="false">
      <c r="B130" s="26" t="s">
        <v>613</v>
      </c>
      <c r="C130" s="157" t="n">
        <f aca="false">1</f>
        <v>1</v>
      </c>
      <c r="D130" s="157" t="n">
        <f aca="false">1</f>
        <v>1</v>
      </c>
      <c r="E130" s="157" t="n">
        <f aca="false">1</f>
        <v>1</v>
      </c>
      <c r="F130" s="157" t="n">
        <f aca="false">IFERROR(0.005/Выручка!$E$28,0)</f>
        <v>0.599700149925038</v>
      </c>
      <c r="G130" s="157" t="n">
        <f aca="false">1</f>
        <v>1</v>
      </c>
      <c r="H130" s="156" t="n">
        <f aca="false">0+(C130-1)*Энергия!$F$39</f>
        <v>0</v>
      </c>
      <c r="I130" s="156" t="n">
        <f aca="false">C130*(D130*$D$72+E130*$D$73)</f>
        <v>364317.75</v>
      </c>
      <c r="J130" s="156" t="n">
        <f aca="false">G130*SUMPRODUCT(ROUND((Выручка!$H$13:$S$13*C130)*(Выручка!$H$28:$S$28*F130),0)*Выручка!$H$30:$S$30)</f>
        <v>148473.2</v>
      </c>
      <c r="K130" s="156" t="n">
        <f aca="false">C130*(D130*$D$74+E130*$D$76)+G130*SUMPRODUCT((YEAR(DATE(YEAR(Выручка!$H$7:$S$7),MONTH(Выручка!$H$7:$S$7)+Лаг_выручки,1))=$D$70)*(Выручка!$H$6:$S$6+Лаг_выручки&lt;=12)*ROUND((Выручка!$H$13:$S$13*C130)*(Выручка!$H$28:$S$28*F130),0)*Выручка!$H$30:$S$30)</f>
        <v>0</v>
      </c>
      <c r="L130" s="156" t="n">
        <f aca="false">C130*(D130*$D$75+E130*$D$77)+G130*SUMPRODUCT((YEAR(DATE(YEAR(Выручка!$H$7:$S$7),MONTH(Выручка!$H$7:$S$7)+Лаг_выручки,1))=$D$71)*(Выручка!$H$6:$S$6+Лаг_выручки&lt;=12)*ROUND((Выручка!$H$13:$S$13*C130)*(Выручка!$H$28:$S$28*F130),0)*Выручка!$H$30:$S$30)</f>
        <v>512790.95</v>
      </c>
      <c r="M130" s="156" t="n">
        <f aca="false">MAX(0,Ставка_УСН*K130-MIN(Взносы_вычет,Лимит_вычета*Ставка_УСН*K130))</f>
        <v>0</v>
      </c>
      <c r="N130" s="156" t="n">
        <f aca="false">MAX(0,Ставка_УСН*L130-MIN(Взносы_вычет,Лимит_вычета*Ставка_УСН*L130))</f>
        <v>0</v>
      </c>
      <c r="O130" s="156" t="n">
        <f aca="false">I130+J130</f>
        <v>512790.95</v>
      </c>
      <c r="P130" s="156" t="n">
        <f aca="false">Комиссия_стора*J130</f>
        <v>22270.98</v>
      </c>
      <c r="Q130" s="36" t="n">
        <f aca="false">O130-P130-($D$78+H130)-$D$81-M130-N130</f>
        <v>25868.72</v>
      </c>
    </row>
    <row r="131" customFormat="false" ht="14.25" hidden="false" customHeight="false" outlineLevel="1" collapsed="false">
      <c r="B131" s="26" t="s">
        <v>614</v>
      </c>
      <c r="C131" s="157" t="n">
        <f aca="false">1</f>
        <v>1</v>
      </c>
      <c r="D131" s="157" t="n">
        <f aca="false">0.8</f>
        <v>0.8</v>
      </c>
      <c r="E131" s="157" t="n">
        <f aca="false">0.8</f>
        <v>0.8</v>
      </c>
      <c r="F131" s="157" t="n">
        <f aca="false">1</f>
        <v>1</v>
      </c>
      <c r="G131" s="157" t="n">
        <f aca="false">1</f>
        <v>1</v>
      </c>
      <c r="H131" s="156" t="n">
        <f aca="false">0+(C131-1)*Энергия!$F$39</f>
        <v>0</v>
      </c>
      <c r="I131" s="156" t="n">
        <f aca="false">C131*(D131*$D$72+E131*$D$73)</f>
        <v>291454.2</v>
      </c>
      <c r="J131" s="156" t="n">
        <f aca="false">G131*SUMPRODUCT(ROUND((Выручка!$H$13:$S$13*C131)*(Выручка!$H$28:$S$28*F131),0)*Выручка!$H$30:$S$30)</f>
        <v>248198.4</v>
      </c>
      <c r="K131" s="156" t="n">
        <f aca="false">C131*(D131*$D$74+E131*$D$76)+G131*SUMPRODUCT((YEAR(DATE(YEAR(Выручка!$H$7:$S$7),MONTH(Выручка!$H$7:$S$7)+Лаг_выручки,1))=$D$70)*(Выручка!$H$6:$S$6+Лаг_выручки&lt;=12)*ROUND((Выручка!$H$13:$S$13*C131)*(Выручка!$H$28:$S$28*F131),0)*Выручка!$H$30:$S$30)</f>
        <v>0</v>
      </c>
      <c r="L131" s="156" t="n">
        <f aca="false">C131*(D131*$D$75+E131*$D$77)+G131*SUMPRODUCT((YEAR(DATE(YEAR(Выручка!$H$7:$S$7),MONTH(Выручка!$H$7:$S$7)+Лаг_выручки,1))=$D$71)*(Выручка!$H$6:$S$6+Лаг_выручки&lt;=12)*ROUND((Выручка!$H$13:$S$13*C131)*(Выручка!$H$28:$S$28*F131),0)*Выручка!$H$30:$S$30)</f>
        <v>539652.6</v>
      </c>
      <c r="M131" s="156" t="n">
        <f aca="false">MAX(0,Ставка_УСН*K131-MIN(Взносы_вычет,Лимит_вычета*Ставка_УСН*K131))</f>
        <v>0</v>
      </c>
      <c r="N131" s="156" t="n">
        <f aca="false">MAX(0,Ставка_УСН*L131-MIN(Взносы_вычет,Лимит_вычета*Ставка_УСН*L131))</f>
        <v>0</v>
      </c>
      <c r="O131" s="156" t="n">
        <f aca="false">I131+J131</f>
        <v>539652.6</v>
      </c>
      <c r="P131" s="156" t="n">
        <f aca="false">Комиссия_стора*J131</f>
        <v>37229.76</v>
      </c>
      <c r="Q131" s="36" t="n">
        <f aca="false">O131-P131-($D$78+H131)-$D$81-M131-N131</f>
        <v>37771.5900000001</v>
      </c>
    </row>
    <row r="132" customFormat="false" ht="14.25" hidden="false" customHeight="false" outlineLevel="1" collapsed="false">
      <c r="B132" s="26" t="s">
        <v>615</v>
      </c>
      <c r="C132" s="157" t="n">
        <f aca="false">0.8</f>
        <v>0.8</v>
      </c>
      <c r="D132" s="157" t="n">
        <f aca="false">1</f>
        <v>1</v>
      </c>
      <c r="E132" s="157" t="n">
        <f aca="false">1</f>
        <v>1</v>
      </c>
      <c r="F132" s="157" t="n">
        <f aca="false">1</f>
        <v>1</v>
      </c>
      <c r="G132" s="157" t="n">
        <f aca="false">1</f>
        <v>1</v>
      </c>
      <c r="H132" s="156" t="n">
        <f aca="false">0+(C132-1)*Энергия!$F$39</f>
        <v>-8930.25</v>
      </c>
      <c r="I132" s="156" t="n">
        <f aca="false">C132*(D132*$D$72+E132*$D$73)</f>
        <v>291454.2</v>
      </c>
      <c r="J132" s="156" t="n">
        <f aca="false">G132*SUMPRODUCT(ROUND((Выручка!$H$13:$S$13*C132)*(Выручка!$H$28:$S$28*F132),0)*Выручка!$H$30:$S$30)</f>
        <v>197852.4</v>
      </c>
      <c r="K132" s="156" t="n">
        <f aca="false">C132*(D132*$D$74+E132*$D$76)+G132*SUMPRODUCT((YEAR(DATE(YEAR(Выручка!$H$7:$S$7),MONTH(Выручка!$H$7:$S$7)+Лаг_выручки,1))=$D$70)*(Выручка!$H$6:$S$6+Лаг_выручки&lt;=12)*ROUND((Выручка!$H$13:$S$13*C132)*(Выручка!$H$28:$S$28*F132),0)*Выручка!$H$30:$S$30)</f>
        <v>0</v>
      </c>
      <c r="L132" s="156" t="n">
        <f aca="false">C132*(D132*$D$75+E132*$D$77)+G132*SUMPRODUCT((YEAR(DATE(YEAR(Выручка!$H$7:$S$7),MONTH(Выручка!$H$7:$S$7)+Лаг_выручки,1))=$D$71)*(Выручка!$H$6:$S$6+Лаг_выручки&lt;=12)*ROUND((Выручка!$H$13:$S$13*C132)*(Выручка!$H$28:$S$28*F132),0)*Выручка!$H$30:$S$30)</f>
        <v>489306.6</v>
      </c>
      <c r="M132" s="156" t="n">
        <f aca="false">MAX(0,Ставка_УСН*K132-MIN(Взносы_вычет,Лимит_вычета*Ставка_УСН*K132))</f>
        <v>0</v>
      </c>
      <c r="N132" s="156" t="n">
        <f aca="false">MAX(0,Ставка_УСН*L132-MIN(Взносы_вычет,Лимит_вычета*Ставка_УСН*L132))</f>
        <v>0</v>
      </c>
      <c r="O132" s="156" t="n">
        <f aca="false">I132+J132</f>
        <v>489306.6</v>
      </c>
      <c r="P132" s="156" t="n">
        <f aca="false">Комиссия_стора*J132</f>
        <v>29677.86</v>
      </c>
      <c r="Q132" s="36" t="n">
        <f aca="false">O132-P132-($D$78+H132)-$D$81-M132-N132</f>
        <v>3907.74000000005</v>
      </c>
    </row>
    <row r="133" customFormat="false" ht="14.25" hidden="false" customHeight="false" outlineLevel="1" collapsed="false"/>
  </sheetData>
  <conditionalFormatting sqref="I8:I14">
    <cfRule type="colorScale" priority="2">
      <colorScale>
        <cfvo type="min" val="0"/>
        <cfvo type="max" val="0"/>
        <color rgb="FFFFFFFF"/>
        <color rgb="FFF4B183"/>
      </colorScale>
    </cfRule>
  </conditionalFormatting>
  <conditionalFormatting sqref="C21:G25">
    <cfRule type="colorScale" priority="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C32:G32">
    <cfRule type="cellIs" priority="4" operator="lessThan" aboveAverage="0" equalAverage="0" bottom="0" percent="0" rank="0" text="" dxfId="15">
      <formula>0</formula>
    </cfRule>
    <cfRule type="cellIs" priority="5" operator="greaterThanOrEqual" aboveAverage="0" equalAverage="0" bottom="0" percent="0" rank="0" text="" dxfId="1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true"/>
  </sheetPr>
  <dimension ref="B2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1" width="1.44"/>
    <col collapsed="false" customWidth="true" hidden="false" outlineLevel="0" max="2" min="2" style="1" width="5"/>
    <col collapsed="false" customWidth="true" hidden="false" outlineLevel="0" max="3" min="3" style="1" width="30"/>
    <col collapsed="false" customWidth="true" hidden="false" outlineLevel="0" max="4" min="4" style="1" width="46"/>
    <col collapsed="false" customWidth="true" hidden="false" outlineLevel="0" max="5" min="5" style="1" width="30"/>
    <col collapsed="false" customWidth="true" hidden="false" outlineLevel="0" max="9" min="6" style="1" width="16"/>
  </cols>
  <sheetData>
    <row r="2" customFormat="false" ht="24" hidden="false" customHeight="true" outlineLevel="0" collapsed="false">
      <c r="B2" s="16" t="s">
        <v>616</v>
      </c>
    </row>
    <row r="3" customFormat="false" ht="14.25" hidden="false" customHeight="false" outlineLevel="0" collapsed="false">
      <c r="B3" s="5" t="s">
        <v>617</v>
      </c>
    </row>
    <row r="5" customFormat="false" ht="27.75" hidden="false" customHeight="true" outlineLevel="0" collapsed="false">
      <c r="B5" s="62" t="s">
        <v>618</v>
      </c>
      <c r="C5" s="55" t="s">
        <v>619</v>
      </c>
      <c r="D5" s="55" t="s">
        <v>620</v>
      </c>
      <c r="E5" s="55" t="s">
        <v>621</v>
      </c>
      <c r="F5" s="55" t="s">
        <v>622</v>
      </c>
      <c r="G5" s="55" t="s">
        <v>623</v>
      </c>
      <c r="H5" s="55" t="s">
        <v>624</v>
      </c>
    </row>
    <row r="6" customFormat="false" ht="30" hidden="false" customHeight="true" outlineLevel="0" collapsed="false">
      <c r="B6" s="158" t="n">
        <v>1</v>
      </c>
      <c r="C6" s="125" t="s">
        <v>161</v>
      </c>
      <c r="D6" s="127" t="s">
        <v>625</v>
      </c>
      <c r="E6" s="127" t="s">
        <v>626</v>
      </c>
      <c r="F6" s="159" t="str">
        <f aca="false">FIXED(Доля_1*100,0)&amp;"% прибыли"</f>
        <v>25% прибыли</v>
      </c>
      <c r="G6" s="149" t="n">
        <f aca="false">Взнос_участника</f>
        <v>50000</v>
      </c>
      <c r="H6" s="160" t="n">
        <f aca="false">Доля_1</f>
        <v>0.25</v>
      </c>
    </row>
    <row r="7" customFormat="false" ht="30" hidden="false" customHeight="true" outlineLevel="0" collapsed="false">
      <c r="B7" s="158" t="n">
        <v>2</v>
      </c>
      <c r="C7" s="125" t="s">
        <v>163</v>
      </c>
      <c r="D7" s="127" t="s">
        <v>627</v>
      </c>
      <c r="E7" s="127" t="s">
        <v>626</v>
      </c>
      <c r="F7" s="159" t="str">
        <f aca="false">FIXED(Доля_2*100,0)&amp;"% прибыли"</f>
        <v>25% прибыли</v>
      </c>
      <c r="G7" s="149" t="n">
        <f aca="false">Взнос_участника</f>
        <v>50000</v>
      </c>
      <c r="H7" s="160" t="n">
        <f aca="false">Доля_2</f>
        <v>0.25</v>
      </c>
    </row>
    <row r="8" customFormat="false" ht="30" hidden="false" customHeight="true" outlineLevel="0" collapsed="false">
      <c r="B8" s="158" t="n">
        <v>3</v>
      </c>
      <c r="C8" s="125" t="s">
        <v>164</v>
      </c>
      <c r="D8" s="127" t="s">
        <v>628</v>
      </c>
      <c r="E8" s="127" t="s">
        <v>626</v>
      </c>
      <c r="F8" s="159" t="str">
        <f aca="false">FIXED(Доля_3*100,0)&amp;"% прибыли"</f>
        <v>25% прибыли</v>
      </c>
      <c r="G8" s="149" t="n">
        <f aca="false">Взнос_участника</f>
        <v>50000</v>
      </c>
      <c r="H8" s="160" t="n">
        <f aca="false">Доля_3</f>
        <v>0.25</v>
      </c>
    </row>
    <row r="9" customFormat="false" ht="30" hidden="false" customHeight="true" outlineLevel="0" collapsed="false">
      <c r="B9" s="158" t="n">
        <v>4</v>
      </c>
      <c r="C9" s="125" t="s">
        <v>165</v>
      </c>
      <c r="D9" s="127" t="s">
        <v>629</v>
      </c>
      <c r="E9" s="127" t="s">
        <v>626</v>
      </c>
      <c r="F9" s="159" t="str">
        <f aca="false">FIXED(Доля_4*100,0)&amp;"% прибыли"</f>
        <v>25% прибыли</v>
      </c>
      <c r="G9" s="149" t="n">
        <f aca="false">Взнос_участника</f>
        <v>50000</v>
      </c>
      <c r="H9" s="160" t="n">
        <f aca="false">Доля_4</f>
        <v>0.25</v>
      </c>
    </row>
    <row r="10" customFormat="false" ht="14.25" hidden="false" customHeight="false" outlineLevel="0" collapsed="false">
      <c r="C10" s="7" t="s">
        <v>166</v>
      </c>
      <c r="G10" s="51" t="n">
        <f aca="false">SUM(G6:G9)</f>
        <v>200000</v>
      </c>
      <c r="H10" s="161" t="n">
        <f aca="false">SUM(H6:H9)</f>
        <v>1</v>
      </c>
    </row>
    <row r="12" customFormat="false" ht="42.75" hidden="false" customHeight="true" outlineLevel="0" collapsed="false">
      <c r="B12" s="162" t="s">
        <v>630</v>
      </c>
      <c r="C12" s="162"/>
      <c r="D12" s="162"/>
      <c r="E12" s="162"/>
      <c r="F12" s="162"/>
      <c r="G12" s="162"/>
      <c r="H12" s="162"/>
      <c r="I12" s="162"/>
    </row>
    <row r="14" customFormat="false" ht="16.5" hidden="false" customHeight="true" outlineLevel="0" collapsed="false">
      <c r="B14" s="6" t="str">
        <f aca="false">"Что получит каждый участник за 12 месяцев (сценарий «"&amp;Сценарий&amp;"»)"</f>
        <v>Что получит каждый участник за 12 месяцев (сценарий «Базовый»)</v>
      </c>
      <c r="C14" s="6"/>
      <c r="D14" s="6"/>
      <c r="E14" s="6"/>
      <c r="F14" s="6"/>
      <c r="G14" s="6"/>
      <c r="H14" s="6"/>
      <c r="I14" s="6"/>
    </row>
    <row r="15" customFormat="false" ht="27.75" hidden="false" customHeight="true" outlineLevel="0" collapsed="false">
      <c r="B15" s="62"/>
      <c r="C15" s="163" t="s">
        <v>51</v>
      </c>
      <c r="D15" s="163"/>
      <c r="E15" s="55" t="s">
        <v>631</v>
      </c>
      <c r="F15" s="55" t="s">
        <v>163</v>
      </c>
      <c r="G15" s="55" t="s">
        <v>632</v>
      </c>
      <c r="H15" s="55" t="s">
        <v>633</v>
      </c>
      <c r="I15" s="55" t="s">
        <v>634</v>
      </c>
    </row>
    <row r="16" customFormat="false" ht="14.25" hidden="false" customHeight="false" outlineLevel="0" collapsed="false">
      <c r="C16" s="107" t="s">
        <v>635</v>
      </c>
      <c r="D16" s="107"/>
      <c r="E16" s="111" t="n">
        <f aca="false">Взнос_участника</f>
        <v>50000</v>
      </c>
      <c r="F16" s="111" t="n">
        <f aca="false">Взнос_участника</f>
        <v>50000</v>
      </c>
      <c r="G16" s="111" t="n">
        <f aca="false">Взнос_участника</f>
        <v>50000</v>
      </c>
      <c r="H16" s="111" t="n">
        <f aca="false">Взнос_участника</f>
        <v>50000</v>
      </c>
      <c r="I16" s="112" t="n">
        <f aca="false">SUM(E16:H16)</f>
        <v>200000</v>
      </c>
    </row>
    <row r="17" customFormat="false" ht="14.25" hidden="false" customHeight="false" outlineLevel="0" collapsed="false">
      <c r="C17" s="107" t="s">
        <v>636</v>
      </c>
      <c r="D17" s="107"/>
      <c r="E17" s="111" t="n">
        <f aca="false">0</f>
        <v>0</v>
      </c>
      <c r="F17" s="111" t="n">
        <f aca="false">0</f>
        <v>0</v>
      </c>
      <c r="G17" s="111" t="n">
        <f aca="false">0</f>
        <v>0</v>
      </c>
      <c r="H17" s="111" t="n">
        <f aca="false">0</f>
        <v>0</v>
      </c>
      <c r="I17" s="112" t="n">
        <f aca="false">SUM(E17:H17)</f>
        <v>0</v>
      </c>
    </row>
    <row r="18" customFormat="false" ht="14.25" hidden="false" customHeight="false" outlineLevel="0" collapsed="false">
      <c r="C18" s="113" t="s">
        <v>637</v>
      </c>
      <c r="D18" s="113"/>
      <c r="E18" s="114" t="n">
        <f aca="false">ОПиУ!$F$31*Доля_1</f>
        <v>27658.785</v>
      </c>
      <c r="F18" s="114" t="n">
        <f aca="false">ОПиУ!$F$31*Доля_2</f>
        <v>27658.785</v>
      </c>
      <c r="G18" s="114" t="n">
        <f aca="false">ОПиУ!$F$31*Доля_3</f>
        <v>27658.785</v>
      </c>
      <c r="H18" s="114" t="n">
        <f aca="false">ОПиУ!$F$31*Доля_4</f>
        <v>27658.785</v>
      </c>
      <c r="I18" s="112" t="n">
        <f aca="false">SUM(E18:H18)</f>
        <v>110635.14</v>
      </c>
    </row>
    <row r="19" customFormat="false" ht="14.25" hidden="false" customHeight="false" outlineLevel="0" collapsed="false">
      <c r="C19" s="164" t="s">
        <v>638</v>
      </c>
      <c r="D19" s="164"/>
      <c r="E19" s="111" t="n">
        <f aca="false">IFERROR(ОПиУ!$F$31*Доля_1/Опер_мес,0)</f>
        <v>3457.348125</v>
      </c>
      <c r="F19" s="111" t="n">
        <f aca="false">IFERROR(ОПиУ!$F$31*Доля_2/Опер_мес,0)</f>
        <v>3457.348125</v>
      </c>
      <c r="G19" s="111" t="n">
        <f aca="false">IFERROR(ОПиУ!$F$31*Доля_3/Опер_мес,0)</f>
        <v>3457.348125</v>
      </c>
      <c r="H19" s="111" t="n">
        <f aca="false">IFERROR(ОПиУ!$F$31*Доля_4/Опер_мес,0)</f>
        <v>3457.348125</v>
      </c>
      <c r="I19" s="112" t="n">
        <f aca="false">SUM(E19:H19)</f>
        <v>13829.3925</v>
      </c>
    </row>
    <row r="20" customFormat="false" ht="14.25" hidden="false" customHeight="false" outlineLevel="0" collapsed="false">
      <c r="C20" s="107" t="s">
        <v>639</v>
      </c>
      <c r="D20" s="107"/>
      <c r="E20" s="111" t="n">
        <f aca="false">-MAX(0,ОПиУ!$F$31*Доля_1)*НДФЛ_дивиденды</f>
        <v>-3595.64205</v>
      </c>
      <c r="F20" s="111" t="n">
        <f aca="false">-MAX(0,ОПиУ!$F$31*Доля_2)*НДФЛ_дивиденды</f>
        <v>-3595.64205</v>
      </c>
      <c r="G20" s="111" t="n">
        <f aca="false">-MAX(0,ОПиУ!$F$31*Доля_3)*НДФЛ_дивиденды</f>
        <v>-3595.64205</v>
      </c>
      <c r="H20" s="111" t="n">
        <f aca="false">-MAX(0,ОПиУ!$F$31*Доля_4)*НДФЛ_дивиденды</f>
        <v>-3595.64205</v>
      </c>
      <c r="I20" s="112" t="n">
        <f aca="false">SUM(E20:H20)</f>
        <v>-14382.5682</v>
      </c>
    </row>
    <row r="21" customFormat="false" ht="14.25" hidden="false" customHeight="false" outlineLevel="0" collapsed="false">
      <c r="C21" s="107" t="s">
        <v>640</v>
      </c>
      <c r="D21" s="107"/>
      <c r="E21" s="111" t="n">
        <f aca="false">ОПиУ!$F$31*Доля_1-MAX(0,ОПиУ!$F$31*Доля_1)*НДФЛ_дивиденды</f>
        <v>24063.14295</v>
      </c>
      <c r="F21" s="111" t="n">
        <f aca="false">ОПиУ!$F$31*Доля_2-MAX(0,ОПиУ!$F$31*Доля_2)*НДФЛ_дивиденды</f>
        <v>24063.14295</v>
      </c>
      <c r="G21" s="111" t="n">
        <f aca="false">ОПиУ!$F$31*Доля_3-MAX(0,ОПиУ!$F$31*Доля_3)*НДФЛ_дивиденды</f>
        <v>24063.14295</v>
      </c>
      <c r="H21" s="111" t="n">
        <f aca="false">ОПиУ!$F$31*Доля_4-MAX(0,ОПиУ!$F$31*Доля_4)*НДФЛ_дивиденды</f>
        <v>24063.14295</v>
      </c>
      <c r="I21" s="112" t="n">
        <f aca="false">SUM(E21:H21)</f>
        <v>96252.5718</v>
      </c>
    </row>
    <row r="22" customFormat="false" ht="14.25" hidden="false" customHeight="false" outlineLevel="0" collapsed="false">
      <c r="C22" s="113" t="s">
        <v>641</v>
      </c>
      <c r="D22" s="113"/>
      <c r="E22" s="114" t="n">
        <f aca="false">E17+E18</f>
        <v>27658.785</v>
      </c>
      <c r="F22" s="114" t="n">
        <f aca="false">F17+F18</f>
        <v>27658.785</v>
      </c>
      <c r="G22" s="114" t="n">
        <f aca="false">G17+G18</f>
        <v>27658.785</v>
      </c>
      <c r="H22" s="114" t="n">
        <f aca="false">H17+H18</f>
        <v>27658.785</v>
      </c>
      <c r="I22" s="112" t="n">
        <f aca="false">SUM(E22:H22)</f>
        <v>110635.14</v>
      </c>
    </row>
    <row r="23" customFormat="false" ht="14.25" hidden="false" customHeight="false" outlineLevel="0" collapsed="false">
      <c r="C23" s="107" t="s">
        <v>642</v>
      </c>
      <c r="D23" s="107"/>
      <c r="E23" s="115" t="n">
        <f aca="false">IFERROR(E18/E16,0)</f>
        <v>0.5531757</v>
      </c>
      <c r="F23" s="115" t="n">
        <f aca="false">IFERROR(F18/F16,0)</f>
        <v>0.5531757</v>
      </c>
      <c r="G23" s="115" t="n">
        <f aca="false">IFERROR(G18/G16,0)</f>
        <v>0.5531757</v>
      </c>
      <c r="H23" s="115" t="n">
        <f aca="false">IFERROR(H18/H16,0)</f>
        <v>0.5531757</v>
      </c>
      <c r="I23" s="117" t="n">
        <f aca="false">IFERROR(I18/I16,0)</f>
        <v>0.5531757</v>
      </c>
    </row>
    <row r="25" customFormat="false" ht="14.25" hidden="false" customHeight="false" outlineLevel="0" collapsed="false">
      <c r="C25" s="15" t="str">
        <f aca="false">"docx: по 95 906 ₽ на участника (в среднем ~12 000 ₽/мес). "&amp;(IF(ОПиУ!$F$31&gt;0,"Чистая прибыль остаётся на счёте проекта; на конец горизонта там "&amp;FIXED(ДДС!$S$27,0)&amp;" ₽, так что выплата возможна.","В этом сценарии чистая прибыль отрицательная: делить нечего."))&amp;" Если проект оформлен как ИП, НДФЛ с дивидендов не применяется."</f>
        <v>docx: по 95 906 ₽ на участника (в среднем ~12 000 ₽/мес). Чистая прибыль остаётся на счёте проекта; на конец горизонта там 310,635 ₽, так что выплата возможна. Если проект оформлен как ИП, НДФЛ с дивидендов не применяется.</v>
      </c>
    </row>
  </sheetData>
  <mergeCells count="10">
    <mergeCell ref="B12:I12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true"/>
  </sheetPr>
  <dimension ref="B2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I10" activeCellId="0" sqref="I10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1" width="1.44"/>
    <col collapsed="false" customWidth="true" hidden="false" outlineLevel="0" max="2" min="2" style="1" width="4"/>
    <col collapsed="false" customWidth="true" hidden="false" outlineLevel="0" max="3" min="3" style="1" width="41.11"/>
    <col collapsed="false" customWidth="true" hidden="false" outlineLevel="0" max="4" min="4" style="1" width="13"/>
    <col collapsed="false" customWidth="true" hidden="false" outlineLevel="0" max="6" min="5" style="1" width="12"/>
    <col collapsed="false" customWidth="true" hidden="false" outlineLevel="0" max="7" min="7" style="1" width="61.11"/>
    <col collapsed="false" customWidth="true" hidden="false" outlineLevel="0" max="8" min="8" style="1" width="46"/>
  </cols>
  <sheetData>
    <row r="2" customFormat="false" ht="24" hidden="false" customHeight="true" outlineLevel="0" collapsed="false">
      <c r="B2" s="16" t="s">
        <v>643</v>
      </c>
    </row>
    <row r="3" customFormat="false" ht="14.25" hidden="false" customHeight="false" outlineLevel="0" collapsed="false">
      <c r="B3" s="5" t="s">
        <v>644</v>
      </c>
    </row>
    <row r="5" customFormat="false" ht="27.75" hidden="false" customHeight="true" outlineLevel="0" collapsed="false">
      <c r="B5" s="62" t="s">
        <v>618</v>
      </c>
      <c r="C5" s="55" t="s">
        <v>645</v>
      </c>
      <c r="D5" s="55" t="s">
        <v>646</v>
      </c>
      <c r="E5" s="55" t="s">
        <v>647</v>
      </c>
      <c r="F5" s="55" t="s">
        <v>648</v>
      </c>
      <c r="G5" s="55" t="s">
        <v>649</v>
      </c>
      <c r="H5" s="55" t="s">
        <v>650</v>
      </c>
    </row>
    <row r="6" customFormat="false" ht="69" hidden="false" customHeight="true" outlineLevel="0" collapsed="false">
      <c r="B6" s="158" t="n">
        <v>1</v>
      </c>
      <c r="C6" s="125" t="s">
        <v>651</v>
      </c>
      <c r="D6" s="159" t="s">
        <v>652</v>
      </c>
      <c r="E6" s="159" t="s">
        <v>653</v>
      </c>
      <c r="F6" s="165" t="str">
        <f aca="false">IF(MATCH(D6,{"Крайне низкая","Низкая","Средняя","Высокая"},0)*MATCH(E6,{"Низкое","Среднее","Высокое"},0)&gt;=8,"Высокий",IF(MATCH(D6,{"Крайне низкая","Низкая","Средняя","Высокая"},0)*MATCH(E6,{"Низкое","Среднее","Высокое"},0)&gt;=5,"Средний","Низкий"))</f>
        <v>Высокий</v>
      </c>
      <c r="G6" s="127" t="s">
        <v>654</v>
      </c>
      <c r="H6" s="127" t="str">
        <f aca="false">"Платных установок около "&amp;FIXED(Показатели!$D$75,0)&amp;" в месяц (CAC "&amp;FIXED(Юнит_CAC,0)&amp;" ₽): при активности пользователя 2-3 мес. это порядка "&amp;FIXED(Показатели!$D$75*2,0)&amp;"-"&amp;FIXED(Показатели!$D$75*3,0)&amp;" MAU из "&amp;FIXED(Выручка!$F$13,0)&amp;" плановых. MAU на 20% ниже: чистая прибыль "&amp;FIXED(Чувствительность!$Q$85,0)&amp;" ₽ ("&amp;IF((Чувствительность!$Q$85-ОПиУ!$F$31)&gt;0,"+","")&amp;FIXED(Чувствительность!$Q$85-ОПиУ!$F$31,0)&amp;" ₽). Прибыль уходит в ноль при MAU ниже плана примерно на "&amp;FIXED(IFERROR(100*Шаг_чувств*Чувствительность!$Q$84/(Чувствительность!$Q$84-Чувствительность!$Q$85),0),0)&amp;"%"</f>
        <v>Платных установок около 1,200 в месяц (CAC 25 ₽): при активности пользователя 2-3 мес. это порядка 2,400-3,600 MAU из 20,000 плановых. MAU на 20% ниже: чистая прибыль 3,908 ₽ (-106,727 ₽). Прибыль уходит в ноль при MAU ниже плана примерно на 21%</v>
      </c>
    </row>
    <row r="7" customFormat="false" ht="42" hidden="false" customHeight="true" outlineLevel="0" collapsed="false">
      <c r="B7" s="158" t="n">
        <v>2</v>
      </c>
      <c r="C7" s="125" t="s">
        <v>655</v>
      </c>
      <c r="D7" s="159" t="s">
        <v>656</v>
      </c>
      <c r="E7" s="159" t="s">
        <v>653</v>
      </c>
      <c r="F7" s="165" t="str">
        <f aca="false">IF(MATCH(D7,{"Крайне низкая","Низкая","Средняя","Высокая"},0)*MATCH(E7,{"Низкое","Среднее","Высокое"},0)&gt;=8,"Высокий",IF(MATCH(D7,{"Крайне низкая","Низкая","Средняя","Высокая"},0)*MATCH(E7,{"Низкое","Среднее","Высокое"},0)&gt;=5,"Средний","Низкий"))</f>
        <v>Высокий</v>
      </c>
      <c r="G7" s="127" t="s">
        <v>657</v>
      </c>
      <c r="H7" s="127" t="str">
        <f aca="false">"DAU/MAU "&amp;FIXED(Чувствительность!$G$30*100,0)&amp;"%: чистая прибыль "&amp;FIXED(Чувствительность!$G$32,0)&amp;" ₽ ("&amp;IF((Чувствительность!$G$32-ОПиУ!$F$31)&gt;0,"+","")&amp;FIXED(Чувствительность!$G$32-ОПиУ!$F$31,0)&amp;" ₽ к активному сценарию). В ноль прибыль выходит при DAU/MAU около "&amp;FIXED(IFERROR(100*(Чувствительность!$F$30-(Чувствительность!$F$30-Чувствительность!$G$30)*Чувствительность!$F$32/(Чувствительность!$F$32-Чувствительность!$G$32)),0),0)&amp;"%"</f>
        <v>DAU/MAU 20%: чистая прибыль 4,080 ₽ (-106,555 ₽ к активному сценарию). В ноль прибыль выходит при DAU/MAU около 20%</v>
      </c>
    </row>
    <row r="8" customFormat="false" ht="52.5" hidden="false" customHeight="true" outlineLevel="0" collapsed="false">
      <c r="B8" s="158" t="n">
        <v>3</v>
      </c>
      <c r="C8" s="125" t="s">
        <v>658</v>
      </c>
      <c r="D8" s="159" t="s">
        <v>652</v>
      </c>
      <c r="E8" s="159" t="s">
        <v>659</v>
      </c>
      <c r="F8" s="165" t="str">
        <f aca="false">IF(MATCH(D8,{"Крайне низкая","Низкая","Средняя","Высокая"},0)*MATCH(E8,{"Низкое","Среднее","Высокое"},0)&gt;=8,"Высокий",IF(MATCH(D8,{"Крайне низкая","Низкая","Средняя","Высокая"},0)*MATCH(E8,{"Низкое","Среднее","Высокое"},0)&gt;=5,"Средний","Низкий"))</f>
        <v>Высокий</v>
      </c>
      <c r="G8" s="127" t="s">
        <v>660</v>
      </c>
      <c r="H8" s="127" t="str">
        <f aca="false">"eCPM на 20% ниже: чистая прибыль "&amp;FIXED(Чувствительность!$Q$131,0)&amp;" ₽ ("&amp;IF((Чувствительность!$Q$131-ОПиУ!$F$31)&gt;0,"+","")&amp;FIXED(Чувствительность!$Q$131-ОПиУ!$F$31,0)&amp;" ₽). При консервативных ставках (100 и 150 ₽) чистая прибыль "&amp;FIXED((ОПиУ!$F$31-(Выручка!$F$19*(1-100/(Int_eCPM*Сц_eCPM))+Выручка!$F$25*(1-150/(Rew_eCPM*Сц_eCPM)))*(1-Ставка_УСН)),0)&amp;" ₽"</f>
        <v>eCPM на 20% ниже: чистая прибыль 37,772 ₽ (-72,864 ₽). При консервативных ставках (100 и 150 ₽) чистая прибыль 14,527 ₽</v>
      </c>
    </row>
    <row r="9" customFormat="false" ht="44.25" hidden="false" customHeight="true" outlineLevel="0" collapsed="false">
      <c r="B9" s="158" t="n">
        <v>4</v>
      </c>
      <c r="C9" s="125" t="s">
        <v>661</v>
      </c>
      <c r="D9" s="159" t="s">
        <v>656</v>
      </c>
      <c r="E9" s="159" t="s">
        <v>659</v>
      </c>
      <c r="F9" s="165" t="str">
        <f aca="false">IF(MATCH(D9,{"Крайне низкая","Низкая","Средняя","Высокая"},0)*MATCH(E9,{"Низкое","Среднее","Высокое"},0)&gt;=8,"Высокий",IF(MATCH(D9,{"Крайне низкая","Низкая","Средняя","Высокая"},0)*MATCH(E9,{"Низкое","Среднее","Высокое"},0)&gt;=5,"Средний","Низкий"))</f>
        <v>Средний</v>
      </c>
      <c r="G9" s="127" t="s">
        <v>662</v>
      </c>
      <c r="H9" s="127" t="str">
        <f aca="false">"Минимальный остаток денег "&amp;FIXED(MIN(ДДС!$H$27:$S$27),0)&amp;" ₽ ("&amp;KPI_мин_деньги_мес&amp;"). Если выручка приходит на месяц позже: "&amp;FIXED(ДДС!$F$37,0)&amp;" ₽ в самом низком месяце"</f>
        <v>Минимальный остаток денег 69,243 ₽ (Мар 2027). Если выручка приходит на месяц позже: 18,151 ₽ в самом низком месяце</v>
      </c>
    </row>
    <row r="10" customFormat="false" ht="49.5" hidden="false" customHeight="true" outlineLevel="0" collapsed="false">
      <c r="B10" s="158" t="n">
        <v>5</v>
      </c>
      <c r="C10" s="125" t="s">
        <v>663</v>
      </c>
      <c r="D10" s="159" t="s">
        <v>656</v>
      </c>
      <c r="E10" s="159" t="s">
        <v>659</v>
      </c>
      <c r="F10" s="165" t="str">
        <f aca="false">IF(MATCH(D10,{"Крайне низкая","Низкая","Средняя","Высокая"},0)*MATCH(E10,{"Низкое","Среднее","Высокое"},0)&gt;=8,"Высокий",IF(MATCH(D10,{"Крайне низкая","Низкая","Средняя","Высокая"},0)*MATCH(E10,{"Низкое","Среднее","Высокое"},0)&gt;=5,"Средний","Низкий"))</f>
        <v>Средний</v>
      </c>
      <c r="G10" s="127" t="s">
        <v>664</v>
      </c>
      <c r="H10" s="127" t="str">
        <f aca="false">"Конверсия 0,5%: чистая прибыль "&amp;FIXED(Чувствительность!$Q$130,0)&amp;" ₽ ("&amp;IF((Чувствительность!$Q$130-ОПиУ!$F$31)&gt;0,"+","")&amp;FIXED(Чувствительность!$Q$130-ОПиУ!$F$31,0)&amp;" ₽ к активному сценарию)"</f>
        <v>Конверсия 0,5%: чистая прибыль 25,869 ₽ (-84,766 ₽ к активному сценарию)</v>
      </c>
    </row>
    <row r="11" customFormat="false" ht="54" hidden="false" customHeight="true" outlineLevel="0" collapsed="false">
      <c r="B11" s="158" t="n">
        <v>6</v>
      </c>
      <c r="C11" s="125" t="s">
        <v>665</v>
      </c>
      <c r="D11" s="159" t="s">
        <v>656</v>
      </c>
      <c r="E11" s="159" t="s">
        <v>659</v>
      </c>
      <c r="F11" s="165" t="str">
        <f aca="false">IF(MATCH(D11,{"Крайне низкая","Низкая","Средняя","Высокая"},0)*MATCH(E11,{"Низкое","Среднее","Высокое"},0)&gt;=8,"Высокий",IF(MATCH(D11,{"Крайне низкая","Низкая","Средняя","Высокая"},0)*MATCH(E11,{"Низкое","Среднее","Высокое"},0)&gt;=5,"Средний","Низкий"))</f>
        <v>Средний</v>
      </c>
      <c r="G11" s="127" t="s">
        <v>666</v>
      </c>
      <c r="H11" s="127" t="str">
        <f aca="false">"Отдельно в модели не считается, эффект идёт через риски 1 и 2. Для масштаба: interstitial ("&amp;FIXED(Int_показов,1)&amp;" показа в день) даёт "&amp;FIXED(Выручка!$F$19/Выручка!$F$36*100,0)&amp;"% выручки, вклад в чистую прибыль около "&amp;FIXED(Выручка!$F$19*(1-Ставка_УСН),0)&amp;" ₽"</f>
        <v>Отдельно в модели не считается, эффект идёт через риски 1 и 2. Для масштаба: interstitial (1.5 показа в день) даёт 22% выручки, вклад в чистую прибыль около 125,917 ₽</v>
      </c>
    </row>
    <row r="12" customFormat="false" ht="63.75" hidden="false" customHeight="true" outlineLevel="0" collapsed="false">
      <c r="B12" s="158" t="n">
        <v>7</v>
      </c>
      <c r="C12" s="125" t="s">
        <v>667</v>
      </c>
      <c r="D12" s="159" t="s">
        <v>656</v>
      </c>
      <c r="E12" s="159" t="s">
        <v>659</v>
      </c>
      <c r="F12" s="165" t="str">
        <f aca="false">IF(MATCH(D12,{"Крайне низкая","Низкая","Средняя","Высокая"},0)*MATCH(E12,{"Низкое","Среднее","Высокое"},0)&gt;=8,"Высокий",IF(MATCH(D12,{"Крайне низкая","Низкая","Средняя","Высокая"},0)*MATCH(E12,{"Низкое","Среднее","Высокое"},0)&gt;=5,"Средний","Низкий"))</f>
        <v>Средний</v>
      </c>
      <c r="G12" s="127" t="s">
        <v>668</v>
      </c>
      <c r="H12" s="127" t="str">
        <f aca="false">"Прямого эффекта в модели нет. Каждые 10 000 ₽ разовых расходов на юриста и экспертизу уменьшают прибыль на 10 000 ₽ ("&amp;FIXED(10000/ОПиУ!$F$31*100,0)&amp;"% планового результата)"</f>
        <v>Прямого эффекта в модели нет. Каждые 10 000 ₽ разовых расходов на юриста и экспертизу уменьшают прибыль на 10 000 ₽ (9% планового результата)</v>
      </c>
    </row>
    <row r="13" customFormat="false" ht="49.5" hidden="false" customHeight="true" outlineLevel="0" collapsed="false">
      <c r="B13" s="158" t="n">
        <v>8</v>
      </c>
      <c r="C13" s="125" t="s">
        <v>669</v>
      </c>
      <c r="D13" s="159" t="s">
        <v>656</v>
      </c>
      <c r="E13" s="159" t="s">
        <v>659</v>
      </c>
      <c r="F13" s="165" t="str">
        <f aca="false">IF(MATCH(D13,{"Крайне низкая","Низкая","Средняя","Высокая"},0)*MATCH(E13,{"Низкое","Среднее","Высокое"},0)&gt;=8,"Высокий",IF(MATCH(D13,{"Крайне низкая","Низкая","Средняя","Высокая"},0)*MATCH(E13,{"Низкое","Среднее","Высокое"},0)&gt;=5,"Средний","Низкий"))</f>
        <v>Средний</v>
      </c>
      <c r="G13" s="127" t="s">
        <v>670</v>
      </c>
      <c r="H13" s="127" t="str">
        <f aca="false">"Сейчас "&amp;FIXED(Зп_опер,0)&amp;" ₽ в месяц на ИИ-сервисы. Рост вдвое после релиза добавит "&amp;FIXED(Зп_опер*Опер_мес,0)&amp;" ₽ расходов за "&amp;Опер_мес&amp;" мес."</f>
        <v>Сейчас 4,000 ₽ в месяц на ИИ-сервисы. Рост вдвое после релиза добавит 32,000 ₽ расходов за 8 мес.</v>
      </c>
    </row>
    <row r="14" customFormat="false" ht="35.25" hidden="false" customHeight="true" outlineLevel="0" collapsed="false">
      <c r="B14" s="158" t="n">
        <v>9</v>
      </c>
      <c r="C14" s="125" t="s">
        <v>671</v>
      </c>
      <c r="D14" s="159" t="s">
        <v>672</v>
      </c>
      <c r="E14" s="159" t="s">
        <v>653</v>
      </c>
      <c r="F14" s="165" t="str">
        <f aca="false">IF(MATCH(D14,{"Крайне низкая","Низкая","Средняя","Высокая"},0)*MATCH(E14,{"Низкое","Среднее","Высокое"},0)&gt;=8,"Высокий",IF(MATCH(D14,{"Крайне низкая","Низкая","Средняя","Высокая"},0)*MATCH(E14,{"Низкое","Среднее","Высокое"},0)&gt;=5,"Средний","Низкий"))</f>
        <v>Низкий</v>
      </c>
      <c r="G14" s="127" t="s">
        <v>673</v>
      </c>
      <c r="H14" s="127" t="str">
        <f aca="false">"Реклама даёт "&amp;FIXED(Выручка!$F$37*100,1)&amp;"% выручки: это главная зависимость модели"</f>
        <v>Реклама даёт 59.5% выручки: это главная зависимость модели</v>
      </c>
    </row>
    <row r="16" customFormat="false" ht="14.25" hidden="false" customHeight="false" outlineLevel="0" collapsed="false">
      <c r="B16" s="15" t="s">
        <v>674</v>
      </c>
    </row>
  </sheetData>
  <conditionalFormatting sqref="F6:F14">
    <cfRule type="expression" priority="2" aboveAverage="0" equalAverage="0" bottom="0" percent="0" rank="0" text="" dxfId="17">
      <formula>$F6="Высокий"</formula>
    </cfRule>
    <cfRule type="expression" priority="3" aboveAverage="0" equalAverage="0" bottom="0" percent="0" rank="0" text="" dxfId="18">
      <formula>$F6="Средний"</formula>
    </cfRule>
    <cfRule type="expression" priority="4" aboveAverage="0" equalAverage="0" bottom="0" percent="0" rank="0" text="" dxfId="19">
      <formula>$F6="Низкий"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true"/>
  </sheetPr>
  <dimension ref="B2:C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47" activePane="bottomLeft" state="frozen"/>
      <selection pane="topLeft" activeCell="A1" activeCellId="0" sqref="A1"/>
      <selection pane="bottomLeft" activeCell="D35" activeCellId="0" sqref="D35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1" width="1.44"/>
    <col collapsed="false" customWidth="true" hidden="false" outlineLevel="0" max="2" min="2" style="1" width="4"/>
    <col collapsed="false" customWidth="true" hidden="false" outlineLevel="0" max="3" min="3" style="1" width="150"/>
  </cols>
  <sheetData>
    <row r="2" customFormat="false" ht="24" hidden="false" customHeight="true" outlineLevel="0" collapsed="false">
      <c r="B2" s="16" t="s">
        <v>675</v>
      </c>
    </row>
    <row r="3" customFormat="false" ht="14.25" hidden="false" customHeight="false" outlineLevel="0" collapsed="false">
      <c r="B3" s="5" t="s">
        <v>676</v>
      </c>
    </row>
    <row r="5" customFormat="false" ht="16.5" hidden="false" customHeight="true" outlineLevel="0" collapsed="false">
      <c r="B5" s="6" t="s">
        <v>677</v>
      </c>
      <c r="C5" s="6"/>
    </row>
    <row r="6" customFormat="false" ht="18" hidden="false" customHeight="true" outlineLevel="0" collapsed="false">
      <c r="C6" s="7" t="str">
        <f aca="false">"Сценарий «"&amp;Сценарий&amp;"»: чистая прибыль за 12 месяцев "&amp;FIXED(KPI_ЧП,0)&amp;" ₽ при выручке "&amp;FIXED(KPI_выручка,0)&amp;" ₽. "&amp;IF(KPI_ЧП&gt;0,"Проект экономически целесообразен при плановых допущениях, но запас прочности небольшой (см. пункт 3).","В этом сценарии проект за 12 месяцев не выходит в прибыль.")</f>
        <v>Сценарий «Базовый»: чистая прибыль за 12 месяцев 110,635 ₽ при выручке 612,516 ₽. Проект экономически целесообразен при плановых допущениях, но запас прочности небольшой (см. пункт 3).</v>
      </c>
    </row>
    <row r="7" customFormat="false" ht="33.75" hidden="false" customHeight="true" outlineLevel="0" collapsed="false">
      <c r="C7" s="166" t="str">
        <f aca="false">"1. Рентабельность: "&amp;FIXED(KPI_ЧП_м*100,1)&amp;"% по чистой прибыли; ROI на собственный капитал "&amp;FIXED(KPI_ROI*100,0)&amp;"% за 12 мес. при вложениях команды "&amp;FIXED(Собств_капитал,0)&amp;" ₽. ЧДД "&amp;FIXED(ЧДД,0)&amp;" ₽ при ставке "&amp;FIXED(Ставка_дисконта*100,0)&amp;"%."</f>
        <v>1. Рентабельность: 18.1% по чистой прибыли; ROI на собственный капитал 55% за 12 мес. при вложениях команды 200,000 ₽. ЧДД 79,741 ₽ при ставке 22%.</v>
      </c>
    </row>
    <row r="8" customFormat="false" ht="33.75" hidden="false" customHeight="true" outlineLevel="0" collapsed="false">
      <c r="C8" s="166" t="str">
        <f aca="false">"2. Окупаемость вложений команды: "&amp;IF(ISNUMBER(PP_docx),FIXED(PP_docx,1)&amp;" мес. ("&amp;PP_docx_мес&amp;")","за пределами 12 месяцев")&amp;" при горизонте 12 мес., запас по времени небольшой. EBITDA положительна с "&amp;BEP_месяц&amp;" (MAU "&amp;FIXED(Показатели!$D$49,0)&amp;"); точка безубыточности "&amp;FIXED(BEP_MAU,0)&amp;" MAU при постоянных расходах "&amp;FIXED(Пост_расходы,0)&amp;" ₽/мес."</f>
        <v>2. Окупаемость вложений команды: 11.0 мес. (Июл 2027) при горизонте 12 мес., запас по времени небольшой. EBITDA положительна с Апр 2027 (MAU 7,000); точка безубыточности 6,236 MAU при постоянных расходах 46,000 ₽/мес.</v>
      </c>
    </row>
    <row r="9" customFormat="false" ht="48.75" hidden="false" customHeight="true" outlineLevel="0" collapsed="false">
      <c r="C9" s="166" t="str">
        <f aca="false">"3. Запас прочности: чистая прибыль уходит в ноль, если MAU ниже плана примерно на "&amp;FIXED(IFERROR(100*Шаг_чувств*Чувствительность!$Q$84/(Чувствительность!$Q$84-Чувствительность!$Q$85),0),0)&amp;"%, или eCPM ниже плана на "&amp;FIXED(IFERROR(100*KPI_ЧП/(Выручка!$F$34*(1-Ставка_УСН)),0),0)&amp;"%, или DAU/MAU ниже "&amp;FIXED(IFERROR(100*(Чувствительность!$F$30-(Чувствительность!$F$30-Чувствительность!$G$30)*Чувствительность!$F$32/(Чувствительность!$F$32-Чувствительность!$G$32)),0),0)&amp;"%. В пессимистичном сценарии (MAU на "&amp;FIXED((1-Допущения!$G$82)*100,0)&amp;"% ниже плана) "&amp;IF(Сценарии!$F$10&gt;=0,"прибыль ","убыток ")&amp;FIXED(Сценарии!$F$10,0)&amp;" ₽, минимальный остаток денег "&amp;FIXED(Сценарии!$F$14,0)&amp;" ₽; ожидаемая прибыль с учётом вероятностей сценариев "&amp;FIXED(Сценарии!$H$10,0)&amp;" ₽."</f>
        <v>3. Запас прочности: чистая прибыль уходит в ноль, если MAU ниже плана примерно на 21%, или eCPM ниже плана на 32%, или DAU/MAU ниже 20%. В пессимистичном сценарии (MAU на 40% ниже плана) убыток -61,713 ₽, минимальный остаток денег 43,523 ₽; ожидаемая прибыль с учётом вероятностей сценариев 100,428 ₽.</v>
      </c>
    </row>
    <row r="10" customFormat="false" ht="33.75" hidden="false" customHeight="true" outlineLevel="0" collapsed="false">
      <c r="C10" s="166" t="str">
        <f aca="false">"4. Масштабируемость: новая глава пишется командой примерно за неделю, прямые расходы на ИИ-сервисы около "&amp;FIXED(Зп_опер/4,0)&amp;" ₽ на главу. После MVP контент добавляется без пропорционального роста расходов."</f>
        <v>4. Масштабируемость: новая глава пишется командой примерно за неделю, прямые расходы на ИИ-сервисы около 1,000 ₽ на главу. После MVP контент добавляется без пропорционального роста расходов.</v>
      </c>
    </row>
    <row r="11" customFormat="false" ht="19.5" hidden="false" customHeight="true" outlineLevel="0" collapsed="false">
      <c r="C11" s="166" t="s">
        <v>678</v>
      </c>
    </row>
    <row r="12" customFormat="false" ht="33.75" hidden="false" customHeight="true" outlineLevel="0" collapsed="false">
      <c r="C12" s="166" t="str">
        <f aca="false">"Рекомендация: "&amp;IF(AND(KPI_ЧП&gt;0,ЧДД&gt;0),"запускать проект с контрольными точками. До платного трафика пройти закрытый бета-тест (D1, D7, DAU/MAU); до релиза подтвердить eCPM пробным подключением сетей; к "&amp;BEP_месяц&amp;" выйти на "&amp;FIXED(BEP_MAU,0)&amp;" MAU, иначе сократить маркетинг до "&amp;FIXED(Допущения!$H$85,0)&amp;" ₽/мес.","в этом сценарии запускать проект стоит только после подтверждения ключевых допущений (MAU, DAU/MAU, eCPM) и с мерами из матрицы рисков.")</f>
        <v>Рекомендация: запускать проект с контрольными точками. До платного трафика пройти закрытый бета-тест (D1, D7, DAU/MAU); до релиза подтвердить eCPM пробным подключением сетей; к Апр 2027 выйти на 6,236 MAU, иначе сократить маркетинг до 20,000 ₽/мес.</v>
      </c>
    </row>
    <row r="14" customFormat="false" ht="16.5" hidden="false" customHeight="true" outlineLevel="0" collapsed="false">
      <c r="B14" s="6" t="s">
        <v>679</v>
      </c>
      <c r="C14" s="6"/>
    </row>
    <row r="15" customFormat="false" ht="19.5" hidden="false" customHeight="true" outlineLevel="0" collapsed="false">
      <c r="C15" s="166" t="s">
        <v>680</v>
      </c>
    </row>
    <row r="16" customFormat="false" ht="19.5" hidden="false" customHeight="true" outlineLevel="0" collapsed="false">
      <c r="C16" s="166" t="s">
        <v>681</v>
      </c>
    </row>
    <row r="17" customFormat="false" ht="33.75" hidden="false" customHeight="true" outlineLevel="0" collapsed="false">
      <c r="C17" s="166" t="str">
        <f aca="false">"3. Масштабируемость: после MVP можно добавлять новые главы, прямые расходы на ИИ-сервисы около "&amp;FIXED(Зп_опер/4,0)&amp;" ₽ на главу, выручка растёт без пропорционального роста расходов."</f>
        <v>3. Масштабируемость: после MVP можно добавлять новые главы, прямые расходы на ИИ-сервисы около 1,000 ₽ на главу, выручка растёт без пропорционального роста расходов.</v>
      </c>
    </row>
    <row r="18" customFormat="false" ht="19.5" hidden="false" customHeight="true" outlineLevel="0" collapsed="false">
      <c r="C18" s="166" t="s">
        <v>682</v>
      </c>
    </row>
    <row r="20" customFormat="false" ht="16.5" hidden="false" customHeight="true" outlineLevel="0" collapsed="false">
      <c r="B20" s="6" t="s">
        <v>683</v>
      </c>
      <c r="C20" s="6"/>
    </row>
    <row r="21" customFormat="false" ht="19.5" hidden="false" customHeight="true" outlineLevel="0" collapsed="false">
      <c r="B21" s="167" t="s">
        <v>684</v>
      </c>
      <c r="C21" s="168" t="str">
        <f aca="false">"Вопрос: «Как финансируется проект и хватит ли денег?»"</f>
        <v>Вопрос: «Как финансируется проект и хватит ли денег?»</v>
      </c>
    </row>
    <row r="22" customFormat="false" ht="63" hidden="false" customHeight="true" outlineLevel="0" collapsed="false">
      <c r="C22" s="166" t="str">
        <f aca="false">"Проект финансируется собственными средствами команды: "&amp;FIXED(Собств_капитал,0)&amp;" ₽ (по "&amp;FIXED(Взнос_участника,0)&amp;" ₽ с человека). Их хватает на разработку и первые месяцы после релиза: минимальный остаток денег "&amp;FIXED(KPI_мин_деньги,0)&amp;" ₽ ("&amp;KPI_мин_деньги_мес&amp;"), "&amp;IF(KPI_мин_деньги&gt;=0,"кассового разрыва нет","возникает кассовый разрыв")&amp;". Запас небольшой: если рекламные сети и магазины платят на месяц позже, минимум "&amp;FIXED(ДДС!$F$37,0)&amp;" ₽. Поэтому до подтверждения результатов мы не привлекаем внешние деньги и держим рычаг в расходах: маркетинг можно сократить до "&amp;FIXED(Допущения!$H$85,0)&amp;" ₽/мес."</f>
        <v>Проект финансируется собственными средствами команды: 200,000 ₽ (по 50,000 ₽ с человека). Их хватает на разработку и первые месяцы после релиза: минимальный остаток денег 69,243 ₽ (Мар 2027), кассового разрыва нет. Запас небольшой: если рекламные сети и магазины платят на месяц позже, минимум 18,151 ₽. Поэтому до подтверждения результатов мы не привлекаем внешние деньги и держим рычаг в расходах: маркетинг можно сократить до 20,000 ₽/мес.</v>
      </c>
    </row>
    <row r="24" customFormat="false" ht="19.5" hidden="false" customHeight="true" outlineLevel="0" collapsed="false">
      <c r="B24" s="167" t="s">
        <v>685</v>
      </c>
      <c r="C24" s="168" t="str">
        <f aca="false">"Вопрос: «Почему игра бесплатная и на чём вы зарабатываете?»"</f>
        <v>Вопрос: «Почему игра бесплатная и на чём вы зарабатываете?»</v>
      </c>
    </row>
    <row r="25" customFormat="false" ht="48.75" hidden="false" customHeight="true" outlineLevel="0" collapsed="false">
      <c r="C25" s="166" t="str">
        <f aca="false">"Установка игры из RuStore бесплатна, платных загрузок в модели нет: чем ниже порог входа, тем больше игроков. Выручка складывается из рекламы ("&amp;FIXED(Выручка!$F$37*100,0)&amp;"%: interstitial и rewarded) и покупок внутри игры ("&amp;FIXED((1-Выручка!$F$37)*100,0)&amp;"%: кристаллы для открытия глав и эксклюзивных веток). За 12 месяцев выручка "&amp;FIXED(KPI_выручка,0)&amp;" ₽, из них "&amp;FIXED(Выручка!$F$34,0)&amp;" ₽ реклама и "&amp;FIXED(Выручка!$F$35,0)&amp;" ₽ покупки."</f>
        <v>Установка игры из RuStore бесплатна, платных загрузок в модели нет: чем ниже порог входа, тем больше игроков. Выручка складывается из рекламы (59%: interstitial и rewarded) и покупок внутри игры (41%: кристаллы для открытия глав и эксклюзивных веток). За 12 месяцев выручка 612,516 ₽, из них 364,318 ₽ реклама и 248,198 ₽ покупки.</v>
      </c>
    </row>
    <row r="27" customFormat="false" ht="19.5" hidden="false" customHeight="true" outlineLevel="0" collapsed="false">
      <c r="B27" s="167" t="s">
        <v>686</v>
      </c>
      <c r="C27" s="168" t="str">
        <f aca="false">"Вопрос: «Как вы рассчитали точку безубыточности?»"</f>
        <v>Вопрос: «Как вы рассчитали точку безубыточности?»</v>
      </c>
    </row>
    <row r="28" customFormat="false" ht="48.75" hidden="false" customHeight="true" outlineLevel="0" collapsed="false">
      <c r="C28" s="166" t="str">
        <f aca="false">"Постоянные расходы после релиза "&amp;FIXED(Пост_расходы,0)&amp;" ₽/мес (серверы, бухгалтерия, маркетинг, ИИ-сервисы). Средний доход с одного MAU в месяц: "&amp;FIXED(ARPU_int,2)&amp;" ₽ от interstitial + "&amp;FIXED(ARPU_rew,2)&amp;" ₽ от rewarded + "&amp;FIXED(ARPU_iap,2)&amp;" ₽ от покупок после комиссии = "&amp;FIXED(ARPU_ср,2)&amp;" ₽. Точка безубыточности "&amp;FIXED(Пост_расходы,0)&amp;" / "&amp;FIXED(ARPU_ср,2)&amp;" = "&amp;FIXED(BEP_MAU,0)&amp;" MAU. Расчёт исходит из DAU/MAU "&amp;FIXED(DAU_MAU*100,0)&amp;"%. По плану EBITDA впервые положительна в "&amp;BEP_месяц&amp;" (MAU "&amp;FIXED(Показатели!$D$49,0)&amp;")."</f>
        <v>Постоянные расходы после релиза 46,000 ₽/мес (серверы, бухгалтерия, маркетинг, ИИ-сервисы). Средний доход с одного MAU в месяц: 1.82 ₽ от interstitial + 3.06 ₽ от rewarded + 2.49 ₽ от покупок после комиссии = 7.38 ₽. Точка безубыточности 46,000 / 7.38 = 6,236 MAU. Расчёт исходит из DAU/MAU 30%. По плану EBITDA впервые положительна в Апр 2027 (MAU 7,000).</v>
      </c>
    </row>
    <row r="30" customFormat="false" ht="19.5" hidden="false" customHeight="true" outlineLevel="0" collapsed="false">
      <c r="B30" s="167" t="s">
        <v>687</v>
      </c>
      <c r="C30" s="168" t="str">
        <f aca="false">"Вопрос: «Что если доходы будут ниже прогноза?»"</f>
        <v>Вопрос: «Что если доходы будут ниже прогноза?»</v>
      </c>
    </row>
    <row r="31" customFormat="false" ht="63" hidden="false" customHeight="true" outlineLevel="0" collapsed="false">
      <c r="C31" s="166" t="str">
        <f aca="false">"Мы посчитали четыре сценария полной логикой модели. В пессимистичном (MAU на "&amp;FIXED((1-Допущения!$G$82)*100,0)&amp;"% ниже плана, расходы без изменений) чистая прибыль "&amp;FIXED(Сценарии!$F$10,0)&amp;" ₽, минимальный остаток денег "&amp;FIXED(Сценарии!$F$14,0)&amp;" ₽, "&amp;IF(Сценарии!$F$14&gt;=0,"кассового разрыва нет","возникает кассовый разрыв")&amp;". Если сократить маркетинг до "&amp;FIXED(Допущения!$H$85,0)&amp;" ₽/мес и MAU удержится, прибыль "&amp;FIXED(Сценарии!$G$10,0)&amp;" ₽. Ожидаемая прибыль с учётом вероятностей сценариев "&amp;FIXED(Сценарии!$H$10,0)&amp;" ₽. Ноль достигается при MAU примерно на "&amp;FIXED(IFERROR(100*Шаг_чувств*Чувствительность!$Q$84/(Чувствительность!$Q$84-Чувствительность!$Q$85),0),0)&amp;"% ниже плана, поэтому до релиза мы подтверждаем MAU, DAU/MAU и eCPM на бета-тесте."</f>
        <v>Мы посчитали четыре сценария полной логикой модели. В пессимистичном (MAU на 40% ниже плана, расходы без изменений) чистая прибыль -61,713 ₽, минимальный остаток денег 43,523 ₽, кассового разрыва нет. Если сократить маркетинг до 20,000 ₽/мес и MAU удержится, прибыль -21,713 ₽. Ожидаемая прибыль с учётом вероятностей сценариев 100,428 ₽. Ноль достигается при MAU примерно на 21% ниже плана, поэтому до релиза мы подтверждаем MAU, DAU/MAU и eCPM на бета-тесте.</v>
      </c>
    </row>
    <row r="33" customFormat="false" ht="19.5" hidden="false" customHeight="true" outlineLevel="0" collapsed="false">
      <c r="B33" s="167" t="s">
        <v>688</v>
      </c>
      <c r="C33" s="168" t="str">
        <f aca="false">"Вопрос: «Какой у вас налог и почему не выбран режим „Доходы минус расходы“?»"</f>
        <v>Вопрос: «Какой у вас налог и почему не выбран режим „Доходы минус расходы“?»</v>
      </c>
    </row>
    <row r="34" customFormat="false" ht="63" hidden="false" customHeight="true" outlineLevel="0" collapsed="false">
      <c r="C34" s="166" t="str">
        <f aca="false">"В расчёте УСН «Доходы» "&amp;FIXED(Ставка_УСН*100,0)&amp;"% с поступлений: "&amp;FIXED(-ОПиУ!$F$30,0)&amp;" ₽ за 12 мес. У ООО нет вычета фиксированных взносов, поэтому налог не уменьшается. Расходы и комиссия составляют "&amp;FIXED(-(ОПиУ!$F$24+ОПиУ!$F$16)/ОПиУ!$F$15*100,0)&amp;"% выручки, поэтому режим «Доходы минус расходы» (15%, ставка региона может быть ниже, минимальный налог 1% выручки) дал бы около "&amp;FIXED(MAX(0.15*(ОПиУ!$F$15+ОПиУ!$F$16+ОПиУ!$F$24+ОПиУ!$F$28),0.01*ОПиУ!$F$15),0)&amp;" ₽, то есть на "&amp;FIXED(-ОПиУ!$F$30-MAX(0.15*(ОПиУ!$F$15+ОПиУ!$F$16+ОПиУ!$F$24+ОПиУ!$F$28),0.01*ОПиУ!$F$15),0)&amp;" ₽ меньше. Расходы при этом режиме нужно подтверждать документами. Выбор режима согласуем с бухгалтером при регистрации."</f>
        <v>В расчёте УСН «Доходы» 6% с поступлений: 0 ₽ за 12 мес. У ООО нет вычета фиксированных взносов, поэтому налог не уменьшается. Расходы и комиссия составляют 82% выручки, поэтому режим «Доходы минус расходы» (15%, ставка региона может быть ниже, минимальный налог 1% выручки) дал бы около 16,595 ₽, то есть на -16,595 ₽ меньше. Расходы при этом режиме нужно подтверждать документами. Выбор режима согласуем с бухгалтером при регистрации.</v>
      </c>
    </row>
    <row r="36" customFormat="false" ht="19.5" hidden="false" customHeight="true" outlineLevel="0" collapsed="false">
      <c r="B36" s="167" t="s">
        <v>689</v>
      </c>
      <c r="C36" s="168" t="str">
        <f aca="false">"Вопрос: «Реалистично ли выйти на "&amp;FIXED(Выручка!$F$13,0)&amp;" MAU с бюджетом "&amp;FIXED(Сц_маркетинг,0)&amp;" ₽ в месяц?»"</f>
        <v>Вопрос: «Реалистично ли выйти на 20,000 MAU с бюджетом 30,000 ₽ в месяц?»</v>
      </c>
    </row>
    <row r="37" customFormat="false" ht="63" hidden="false" customHeight="true" outlineLevel="0" collapsed="false">
      <c r="C37" s="166" t="str">
        <f aca="false">"При бюджете "&amp;FIXED(Сц_маркетинг,0)&amp;" ₽/мес и CAC около "&amp;FIXED(Юнит_CAC,0)&amp;" ₽ это около "&amp;FIXED(Показатели!$D$75,0)&amp;" платных установок в месяц, за "&amp;Опер_мес&amp;" мес. около "&amp;FIXED(Показатели!$D$75*Опер_мес,0)&amp;". Если пользователь остаётся активным 2-3 месяца, платный трафик даёт порядка "&amp;FIXED(Показатели!$D$75*2,0)&amp;"-"&amp;FIXED(Показатели!$D$75*3,0)&amp;" MAU. Остальной рост до "&amp;FIXED(Выручка!$F$13,0)&amp;" MAU должна дать органика: витрины RuStore и VK Play, тематические Telegram-каналы, рекомендации игроков. Это ключевое допущение: при MAU на 20% ниже плана чистая прибыль "&amp;FIXED(Чувствительность!$Q$85,0)&amp;" ₽. Поэтому платный трафик включаем после бета-теста, где измерим удержание и реальную стоимость установки."</f>
        <v>При бюджете 30,000 ₽/мес и CAC около 25 ₽ это около 1,200 платных установок в месяц, за 8 мес. около 9,600. Если пользователь остаётся активным 2-3 месяца, платный трафик даёт порядка 2,400-3,600 MAU. Остальной рост до 20,000 MAU должна дать органика: витрины RuStore и VK Play, тематические Telegram-каналы, рекомендации игроков. Это ключевое допущение: при MAU на 20% ниже плана чистая прибыль 3,908 ₽. Поэтому платный трафик включаем после бета-теста, где измерим удержание и реальную стоимость установки.</v>
      </c>
    </row>
    <row r="39" customFormat="false" ht="19.5" hidden="false" customHeight="true" outlineLevel="0" collapsed="false">
      <c r="B39" s="167" t="s">
        <v>690</v>
      </c>
      <c r="C39" s="168" t="str">
        <f aca="false">"Вопрос: «Что получит команда?»"</f>
        <v>Вопрос: «Что получит команда?»</v>
      </c>
    </row>
    <row r="40" customFormat="false" ht="48.75" hidden="false" customHeight="true" outlineLevel="0" collapsed="false">
      <c r="C40" s="166" t="str">
        <f aca="false">"До релиза никто не получает оплату, расходы на ИИ-сервисы ("&amp;FIXED(Зп_дев,0)&amp;" ₽/мес) входят в операционные расходы проекта. После релиза чистая прибыль делится поровну, по "&amp;FIXED(Доля_1*100,0)&amp;"%. "&amp;IF(ОПиУ!$F$31&gt;0,"За первые 12 месяцев каждый получит около "&amp;FIXED(ОПиУ!$F$31*Доля_1,0)&amp;" ₽ до НДФЛ (в среднем "&amp;FIXED(IFERROR(ОПиУ!$F$31*Доля_1/Опер_мес,0),0)&amp;" ₽ в месяц за "&amp;Опер_мес&amp;" мес. после запуска); при выплате дивидендами ООО НДФЛ "&amp;FIXED(НДФЛ_дивиденды*100,0)&amp;"%, на руки около "&amp;FIXED(ОПиУ!$F$31*Доля_1*(1-НДФЛ_дивиденды),0)&amp;" ₽.","В этом сценарии за первые 12 месяцев делить нечего: чистая прибыль "&amp;FIXED(ОПиУ!$F$31,0)&amp;" ₽.")&amp;" Дальше доход растёт вместе с MAU; модель считает только первые 12 месяцев."</f>
        <v>До релиза никто не получает оплату, расходы на ИИ-сервисы (4,000 ₽/мес) входят в операционные расходы проекта. После релиза чистая прибыль делится поровну, по 25%. За первые 12 месяцев каждый получит около 27,659 ₽ до НДФЛ (в среднем 3,457 ₽ в месяц за 8 мес. после запуска); при выплате дивидендами ООО НДФЛ 13%, на руки около 24,063 ₽. Дальше доход растёт вместе с MAU; модель считает только первые 12 месяцев.</v>
      </c>
    </row>
    <row r="42" customFormat="false" ht="19.5" hidden="false" customHeight="true" outlineLevel="0" collapsed="false">
      <c r="B42" s="167" t="s">
        <v>691</v>
      </c>
      <c r="C42" s="168" t="str">
        <f aca="false">"Вопрос: «Какой у проекта срок окупаемости?»"</f>
        <v>Вопрос: «Какой у проекта срок окупаемости?»</v>
      </c>
    </row>
    <row r="43" customFormat="false" ht="48.75" hidden="false" customHeight="true" outlineLevel="0" collapsed="false">
      <c r="C43" s="166" t="str">
        <f aca="false">"Считаем тремя способами. Первый: поток проекта покрывает расходы разработки: "&amp;IF(ISNUMBER(PP_проект),FIXED(PP_проект,1)&amp;" мес. ("&amp;PP_проект_мес&amp;")","за пределами 12 месяцев")&amp;". Это и есть окупаемость вложений команды. Второй: накопленная чистая прибыль перекрывает убытки периода разработки: "&amp;IF(ISNUMBER(PP_прибыль),FIXED(PP_прибыль,1)&amp;" мес. ("&amp;PP_прибыль_мес&amp;")","за пределами 12 месяцев")&amp;". Третий: дисконтированный срок окупаемости: "&amp;IF(ISNUMBER(PP_дисконт),FIXED(PP_дисконт,1)&amp;" мес. ("&amp;Показатели!$E$62&amp;")","за пределами 12 месяцев")&amp;"."&amp;IF(AND(ISNUMBER(PP_docx),PP_docx&gt;=9)," Все сроки лежат близко к концу горизонта, поэтому просадка по MAU переносит окупаемость за 12 месяцев.","")</f>
        <v>Считаем тремя способами. Первый: поток проекта покрывает расходы разработки: 11.0 мес. (Июл 2027). Это и есть окупаемость вложений команды. Второй: накопленная чистая прибыль перекрывает убытки периода разработки: 11.0 мес. (Июл 2027). Третий: дисконтированный срок окупаемости: 11.1 мес. (Авг 2027). Все сроки лежат близко к концу горизонта, поэтому просадка по MAU переносит окупаемость за 12 месяцев.</v>
      </c>
    </row>
    <row r="45" customFormat="false" ht="19.5" hidden="false" customHeight="true" outlineLevel="0" collapsed="false">
      <c r="B45" s="167" t="s">
        <v>692</v>
      </c>
      <c r="C45" s="168" t="str">
        <f aca="false">"Вопрос: «Откуда eCPM "&amp;FIXED(Int_eCPM,0)&amp;" и "&amp;FIXED(Rew_eCPM,0)&amp;" ₽?»"</f>
        <v>Вопрос: «Откуда eCPM 150 и 200 ₽?»</v>
      </c>
    </row>
    <row r="46" customFormat="false" ht="48.75" hidden="false" customHeight="true" outlineLevel="0" collapsed="false">
      <c r="C46" s="166" t="str">
        <f aca="false">"Это допущение команды по ставкам российских рекламных сетей, мы подтвердим его тестовыми кампаниями до релиза. Реклама даёт "&amp;FIXED(Выручка!$F$37*100,0)&amp;"% выручки, поэтому ставки вместе с MAU главное допущение модели. Для проверки посчитан консервативный вариант 100 и 150 ₽: чистая прибыль была бы "&amp;FIXED((ОПиУ!$F$31-(Выручка!$F$19*(1-100/(Int_eCPM*Сц_eCPM))+Выручка!$F$25*(1-150/(Rew_eCPM*Сц_eCPM)))*(1-Ставка_УСН)),0)&amp;" ₽"&amp;IF((ОПиУ!$F$31-(Выручка!$F$19*(1-100/(Int_eCPM*Сц_eCPM))+Выручка!$F$25*(1-150/(Rew_eCPM*Сц_eCPM)))*(1-Ставка_УСН))&lt;0,", то есть при низких ставках проект не окупается и мы сокращаем расходы","")&amp;"."</f>
        <v>Это допущение команды по ставкам российских рекламных сетей, мы подтвердим его тестовыми кампаниями до релиза. Реклама даёт 59% выручки, поэтому ставки вместе с MAU главное допущение модели. Для проверки посчитан консервативный вариант 100 и 150 ₽: чистая прибыль была бы 14,527 ₽.</v>
      </c>
    </row>
    <row r="48" customFormat="false" ht="19.5" hidden="false" customHeight="true" outlineLevel="0" collapsed="false">
      <c r="B48" s="167" t="s">
        <v>693</v>
      </c>
      <c r="C48" s="168" t="str">
        <f aca="false">"Вопрос: «Почему DAU/MAU "&amp;FIXED(DAU_MAU*100,0)&amp;"%?»"</f>
        <v>Вопрос: «Почему DAU/MAU 30%?»</v>
      </c>
    </row>
    <row r="49" customFormat="false" ht="48.75" hidden="false" customHeight="true" outlineLevel="0" collapsed="false">
      <c r="C49" s="166" t="str">
        <f aca="false">"DAU/MAU показывает, какая доля активных за месяц игроков заходит в игру каждый день. Мы закладываем "&amp;FIXED(DAU_MAU*100,0)&amp;"%: при выходе глав раз в неделю доля может быть и ниже. При "&amp;FIXED(Чувствительность!$E$30*100,0)&amp;"% выручка была бы "&amp;FIXED(Чувствительность!$E$31,0)&amp;" ₽, при "&amp;FIXED(Чувствительность!$G$30*100,0)&amp;"% будет "&amp;FIXED(Чувствительность!$G$31,0)&amp;" ₽ и чистая прибыль "&amp;FIXED(Чувствительность!$G$32,0)&amp;" ₽. Значение заменим данными бета-теста."</f>
        <v>DAU/MAU показывает, какая доля активных за месяц игроков заходит в игру каждый день. Мы закладываем 30%: при выходе глав раз в неделю доля может быть и ниже. При 50% выручка была бы 855,395 ₽, при 20% будет 491,077 ₽ и чистая прибыль 4,080 ₽. Значение заменим данными бета-теста.</v>
      </c>
    </row>
    <row r="51" customFormat="false" ht="19.5" hidden="false" customHeight="true" outlineLevel="0" collapsed="false">
      <c r="B51" s="167" t="s">
        <v>694</v>
      </c>
      <c r="C51" s="168" t="str">
        <f aca="false">"Вопрос: «Как устроены платежи и комиссия магазина?»"</f>
        <v>Вопрос: «Как устроены платежи и комиссия магазина?»</v>
      </c>
    </row>
    <row r="52" customFormat="false" ht="48.75" hidden="false" customHeight="true" outlineLevel="0" collapsed="false">
      <c r="C52" s="166" t="str">
        <f aca="false">"Установка из RuStore бесплатна, комиссия магазина "&amp;FIXED(Комиссия_стора*100,0)&amp;"% удерживается только с покупок внутри игры: "&amp;FIXED(-ОПиУ!$F$16,0)&amp;" ₽ за 12 мес. Для монетизации в RuStore нужен ИП или юрлицо, поэтому до релиза регистрируем ООО. Платёжную схему согласуем с правилами магазина и с юристом: нарушение может привести к блокировке покупок, а без них чистая прибыль была бы около "&amp;FIXED((KPI_ЧП-Выручка!$F$35*(1-Комиссия_стора-Ставка_УСН)),0)&amp;" ₽ (покупки дают "&amp;FIXED((1-Выручка!$F$37)*100,0)&amp;"% выручки)."</f>
        <v>Установка из RuStore бесплатна, комиссия магазина 15% удерживается только с покупок внутри игры: 37,230 ₽ за 12 мес. Для монетизации в RuStore нужен ИП или юрлицо, поэтому до релиза регистрируем ООО. Платёжную схему согласуем с правилами магазина и с юристом: нарушение может привести к блокировке покупок, а без них чистая прибыль была бы около -85,442 ₽ (покупки дают 41% выручки).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B2:H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9" activePane="bottomLeft" state="frozen"/>
      <selection pane="topLeft" activeCell="A1" activeCellId="0" sqref="A1"/>
      <selection pane="bottomLeft" activeCell="C64" activeCellId="0" sqref="C64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1" width="1.44"/>
    <col collapsed="false" customWidth="true" hidden="false" outlineLevel="0" max="2" min="2" style="1" width="5"/>
    <col collapsed="false" customWidth="true" hidden="false" outlineLevel="0" max="3" min="3" style="1" width="64"/>
    <col collapsed="false" customWidth="true" hidden="false" outlineLevel="0" max="5" min="4" style="1" width="15"/>
    <col collapsed="false" customWidth="true" hidden="false" outlineLevel="0" max="6" min="6" style="1" width="13"/>
    <col collapsed="false" customWidth="true" hidden="false" outlineLevel="0" max="7" min="7" style="1" width="15"/>
    <col collapsed="false" customWidth="true" hidden="false" outlineLevel="0" max="8" min="8" style="1" width="80"/>
  </cols>
  <sheetData>
    <row r="2" customFormat="false" ht="24" hidden="false" customHeight="true" outlineLevel="0" collapsed="false">
      <c r="B2" s="16" t="s">
        <v>695</v>
      </c>
    </row>
    <row r="4" customFormat="false" ht="14.25" hidden="false" customHeight="false" outlineLevel="0" collapsed="false">
      <c r="B4" s="7" t="s">
        <v>696</v>
      </c>
      <c r="D4" s="169" t="str">
        <f aca="false">IF(COUNTIF($E$8:$E$18,"ОШИБКА")&gt;0,"Есть ошибки: "&amp;COUNTIF($E$8:$E$18,"ОШИБКА"),IF(COUNTIF($E$8:$E$18,"ВНИМАНИЕ")&gt;0,"Проверки пройдены, есть предупреждение","Все проверки пройдены"))</f>
        <v>Все проверки пройдены</v>
      </c>
      <c r="E4" s="169"/>
      <c r="F4" s="169"/>
      <c r="G4" s="169"/>
      <c r="H4" s="169"/>
    </row>
    <row r="6" customFormat="false" ht="16.5" hidden="false" customHeight="true" outlineLevel="0" collapsed="false">
      <c r="B6" s="6" t="s">
        <v>697</v>
      </c>
      <c r="C6" s="6"/>
      <c r="D6" s="6"/>
      <c r="E6" s="6"/>
      <c r="F6" s="6"/>
      <c r="G6" s="6"/>
      <c r="H6" s="6"/>
    </row>
    <row r="7" customFormat="false" ht="27.75" hidden="false" customHeight="true" outlineLevel="0" collapsed="false">
      <c r="B7" s="62" t="s">
        <v>618</v>
      </c>
      <c r="C7" s="55" t="s">
        <v>698</v>
      </c>
      <c r="D7" s="55" t="s">
        <v>395</v>
      </c>
      <c r="E7" s="55" t="s">
        <v>504</v>
      </c>
      <c r="F7" s="55"/>
      <c r="G7" s="55"/>
      <c r="H7" s="55" t="s">
        <v>699</v>
      </c>
    </row>
    <row r="8" customFormat="false" ht="17.25" hidden="false" customHeight="true" outlineLevel="0" collapsed="false">
      <c r="B8" s="158" t="n">
        <v>1</v>
      </c>
      <c r="C8" s="127" t="s">
        <v>700</v>
      </c>
      <c r="D8" s="170" t="n">
        <f aca="false">Баланс!$F$24</f>
        <v>0</v>
      </c>
      <c r="E8" s="165" t="str">
        <f aca="false">IF(ABS(D8)&lt;0.5,"OK","ОШИБКА")</f>
        <v>OK</v>
      </c>
      <c r="F8" s="116"/>
      <c r="G8" s="116"/>
      <c r="H8" s="126" t="s">
        <v>701</v>
      </c>
    </row>
    <row r="9" customFormat="false" ht="17.25" hidden="false" customHeight="true" outlineLevel="0" collapsed="false">
      <c r="B9" s="158" t="n">
        <v>2</v>
      </c>
      <c r="C9" s="127" t="s">
        <v>702</v>
      </c>
      <c r="D9" s="170" t="n">
        <f aca="false">SUMPRODUCT(ABS(ДДС!$H$32:$S$32))</f>
        <v>0</v>
      </c>
      <c r="E9" s="165" t="str">
        <f aca="false">IF(ABS(D9)&lt;0.5,"OK","ОШИБКА")</f>
        <v>OK</v>
      </c>
      <c r="F9" s="116"/>
      <c r="G9" s="116"/>
      <c r="H9" s="126" t="s">
        <v>703</v>
      </c>
    </row>
    <row r="10" customFormat="false" ht="17.25" hidden="false" customHeight="true" outlineLevel="0" collapsed="false">
      <c r="B10" s="158" t="n">
        <v>3</v>
      </c>
      <c r="C10" s="127" t="s">
        <v>704</v>
      </c>
      <c r="D10" s="170" t="n">
        <f aca="false">ДДС!$S$27-Баланс!$S$12</f>
        <v>0</v>
      </c>
      <c r="E10" s="165" t="str">
        <f aca="false">IF(ABS(D10)&lt;0.5,"OK","ОШИБКА")</f>
        <v>OK</v>
      </c>
      <c r="F10" s="116"/>
      <c r="G10" s="116"/>
      <c r="H10" s="126"/>
    </row>
    <row r="11" customFormat="false" ht="17.25" hidden="false" customHeight="true" outlineLevel="0" collapsed="false">
      <c r="B11" s="158" t="n">
        <v>4</v>
      </c>
      <c r="C11" s="127" t="s">
        <v>705</v>
      </c>
      <c r="D11" s="170" t="n">
        <f aca="false">ОПиУ!$F$15-Выручка!$F$36</f>
        <v>0</v>
      </c>
      <c r="E11" s="165" t="str">
        <f aca="false">IF(ABS(D11)&lt;0.5,"OK","ОШИБКА")</f>
        <v>OK</v>
      </c>
      <c r="F11" s="116"/>
      <c r="G11" s="116"/>
      <c r="H11" s="126"/>
    </row>
    <row r="12" customFormat="false" ht="17.25" hidden="false" customHeight="true" outlineLevel="0" collapsed="false">
      <c r="B12" s="158" t="n">
        <v>5</v>
      </c>
      <c r="C12" s="127" t="s">
        <v>706</v>
      </c>
      <c r="D12" s="170" t="n">
        <f aca="false">SUMPRODUCT(ABS(ДДС!$H$27:$S$27-ДДС!$H$26:$S$26-ДДС!$H$25:$S$25))</f>
        <v>7.27595761418343E-012</v>
      </c>
      <c r="E12" s="165" t="str">
        <f aca="false">IF(ABS(D12)&lt;0.5,"OK","ОШИБКА")</f>
        <v>OK</v>
      </c>
      <c r="F12" s="116"/>
      <c r="G12" s="116"/>
      <c r="H12" s="126" t="s">
        <v>707</v>
      </c>
    </row>
    <row r="13" customFormat="false" ht="30" hidden="false" customHeight="true" outlineLevel="0" collapsed="false">
      <c r="B13" s="158" t="n">
        <v>6</v>
      </c>
      <c r="C13" s="127" t="s">
        <v>708</v>
      </c>
      <c r="D13" s="170" t="n">
        <f aca="false">INDEX(Сценарии!$D$10:$G$10,1,Сц_номер)-ОПиУ!$F$31</f>
        <v>0</v>
      </c>
      <c r="E13" s="165" t="str">
        <f aca="false">IF(ABS(D13)&lt;0.5,"OK","ОШИБКА")</f>
        <v>OK</v>
      </c>
      <c r="F13" s="116"/>
      <c r="G13" s="116"/>
      <c r="H13" s="126" t="s">
        <v>709</v>
      </c>
    </row>
    <row r="14" customFormat="false" ht="30" hidden="false" customHeight="true" outlineLevel="0" collapsed="false">
      <c r="B14" s="158" t="n">
        <v>7</v>
      </c>
      <c r="C14" s="127" t="s">
        <v>710</v>
      </c>
      <c r="D14" s="170" t="n">
        <f aca="false">INDEX(Сценарии!$D$13:$G$13,1,Сц_номер)-ДДС!$S$27</f>
        <v>0</v>
      </c>
      <c r="E14" s="165" t="str">
        <f aca="false">IF(ABS(D14)&lt;0.5,"OK","ОШИБКА")</f>
        <v>OK</v>
      </c>
      <c r="F14" s="116"/>
      <c r="G14" s="116"/>
      <c r="H14" s="126"/>
    </row>
    <row r="15" customFormat="false" ht="17.25" hidden="false" customHeight="true" outlineLevel="0" collapsed="false">
      <c r="B15" s="158" t="n">
        <v>8</v>
      </c>
      <c r="C15" s="127" t="s">
        <v>711</v>
      </c>
      <c r="D15" s="170" t="n">
        <f aca="false">Чувств_база_ЧП-ОПиУ!$F$31</f>
        <v>0</v>
      </c>
      <c r="E15" s="165" t="str">
        <f aca="false">IF(ABS(D15)&lt;0.5,"OK","ОШИБКА")</f>
        <v>OK</v>
      </c>
      <c r="F15" s="116"/>
      <c r="G15" s="116"/>
      <c r="H15" s="126" t="s">
        <v>712</v>
      </c>
    </row>
    <row r="16" customFormat="false" ht="17.25" hidden="false" customHeight="true" outlineLevel="0" collapsed="false">
      <c r="B16" s="158" t="n">
        <v>9</v>
      </c>
      <c r="C16" s="127" t="s">
        <v>713</v>
      </c>
      <c r="D16" s="170" t="n">
        <f aca="false">Доли_итого-1</f>
        <v>0</v>
      </c>
      <c r="E16" s="165" t="str">
        <f aca="false">IF(ABS(D16)&lt;0.000001,"OK","ОШИБКА")</f>
        <v>OK</v>
      </c>
      <c r="F16" s="116"/>
      <c r="G16" s="116"/>
      <c r="H16" s="126"/>
    </row>
    <row r="17" customFormat="false" ht="17.25" hidden="false" customHeight="true" outlineLevel="0" collapsed="false">
      <c r="B17" s="158" t="n">
        <v>10</v>
      </c>
      <c r="C17" s="127" t="s">
        <v>714</v>
      </c>
      <c r="D17" s="170" t="n">
        <f aca="false">SUM(Допущения!$E$81:$G$81)-1</f>
        <v>0</v>
      </c>
      <c r="E17" s="165" t="str">
        <f aca="false">IF(ABS(D17)&lt;0.000001,"OK","ОШИБКА")</f>
        <v>OK</v>
      </c>
      <c r="F17" s="116"/>
      <c r="G17" s="116"/>
      <c r="H17" s="126"/>
    </row>
    <row r="18" customFormat="false" ht="14.25" hidden="false" customHeight="false" outlineLevel="0" collapsed="false">
      <c r="B18" s="171" t="n">
        <v>11</v>
      </c>
      <c r="C18" s="8" t="s">
        <v>715</v>
      </c>
      <c r="D18" s="60" t="n">
        <f aca="false">KPI_мин_деньги</f>
        <v>69242.96</v>
      </c>
      <c r="E18" s="172" t="str">
        <f aca="false">IF(D18&gt;=0,"OK","ВНИМАНИЕ")</f>
        <v>OK</v>
      </c>
      <c r="H18" s="15" t="s">
        <v>716</v>
      </c>
    </row>
    <row r="20" customFormat="false" ht="16.5" hidden="false" customHeight="true" outlineLevel="0" collapsed="false">
      <c r="B20" s="6" t="s">
        <v>717</v>
      </c>
      <c r="C20" s="6"/>
      <c r="D20" s="6"/>
      <c r="E20" s="6"/>
      <c r="F20" s="6"/>
      <c r="G20" s="6"/>
      <c r="H20" s="6"/>
    </row>
    <row r="21" customFormat="false" ht="14.25" hidden="false" customHeight="false" outlineLevel="0" collapsed="false">
      <c r="C21" s="7" t="str">
        <f aca="false">IF(AND(Сценарий="Базовый",DAU_MAU=1,Комиссия_стора=0,Лаг_выручки=0,Взносы_вычет=54000,Лимит_вычета=1,Задержка_релиза=0,Мес_разработки=4,Собств_капитал=200000,Ставка_УСН=0.06),"Сейчас в модели исходные допущения docx: сверка показательна.","Допущения изменены относительно docx: расхождения ниже ожидаемы.")</f>
        <v>Допущения изменены относительно docx: расхождения ниже ожидаемы.</v>
      </c>
    </row>
    <row r="22" customFormat="false" ht="27.75" hidden="false" customHeight="true" outlineLevel="0" collapsed="false">
      <c r="B22" s="62" t="s">
        <v>618</v>
      </c>
      <c r="C22" s="55" t="s">
        <v>718</v>
      </c>
      <c r="D22" s="55" t="s">
        <v>719</v>
      </c>
      <c r="E22" s="55" t="s">
        <v>720</v>
      </c>
      <c r="F22" s="55" t="s">
        <v>721</v>
      </c>
      <c r="G22" s="55" t="s">
        <v>504</v>
      </c>
      <c r="H22" s="55" t="s">
        <v>396</v>
      </c>
    </row>
    <row r="23" customFormat="false" ht="17.25" hidden="true" customHeight="true" outlineLevel="0" collapsed="false">
      <c r="B23" s="158" t="n">
        <v>1</v>
      </c>
      <c r="C23" s="127" t="s">
        <v>722</v>
      </c>
      <c r="D23" s="173" t="n">
        <v>27110</v>
      </c>
      <c r="E23" s="149" t="n">
        <f aca="false">0</f>
        <v>0</v>
      </c>
      <c r="F23" s="111" t="n">
        <f aca="false">IF(ISNUMBER(E23),E23-D23,"")</f>
        <v>-27110</v>
      </c>
      <c r="G23" s="165" t="str">
        <f aca="false">IF(NOT(ISNUMBER(E23)),"расхождение",IF(ROUND(E23,0)=D23,"совпадает",IF(ABS(E23-D23)&lt;=5,"≈ округление","расхождение")))</f>
        <v>расхождение</v>
      </c>
      <c r="H23" s="174" t="s">
        <v>723</v>
      </c>
    </row>
    <row r="24" customFormat="false" ht="17.25" hidden="true" customHeight="true" outlineLevel="0" collapsed="false">
      <c r="B24" s="158" t="n">
        <v>2</v>
      </c>
      <c r="C24" s="127" t="s">
        <v>724</v>
      </c>
      <c r="D24" s="173" t="n">
        <v>31548</v>
      </c>
      <c r="E24" s="149" t="n">
        <f aca="false">0</f>
        <v>0</v>
      </c>
      <c r="F24" s="111" t="n">
        <f aca="false">IF(ISNUMBER(E24),E24-D24,"")</f>
        <v>-31548</v>
      </c>
      <c r="G24" s="165" t="str">
        <f aca="false">IF(NOT(ISNUMBER(E24)),"расхождение",IF(ROUND(E24,0)=D24,"совпадает",IF(ABS(E24-D24)&lt;=50,"≈ округление","расхождение")))</f>
        <v>расхождение</v>
      </c>
      <c r="H24" s="174" t="s">
        <v>725</v>
      </c>
    </row>
    <row r="25" customFormat="false" ht="17.25" hidden="false" customHeight="true" outlineLevel="0" collapsed="false">
      <c r="B25" s="158" t="n">
        <v>3</v>
      </c>
      <c r="C25" s="127" t="s">
        <v>726</v>
      </c>
      <c r="D25" s="173" t="n">
        <v>564000</v>
      </c>
      <c r="E25" s="149" t="n">
        <f aca="false">Расходы!$F$16</f>
        <v>464651.25</v>
      </c>
      <c r="F25" s="111" t="n">
        <f aca="false">IF(ISNUMBER(E25),E25-D25,"")</f>
        <v>-99348.75</v>
      </c>
      <c r="G25" s="165" t="str">
        <f aca="false">IF(NOT(ISNUMBER(E25)),"расхождение",IF(ROUND(E25,0)=D25,"совпадает",IF(ABS(E25-D25)&lt;=1,"≈ округление","расхождение")))</f>
        <v>расхождение</v>
      </c>
      <c r="H25" s="174"/>
    </row>
    <row r="26" customFormat="false" ht="17.25" hidden="false" customHeight="true" outlineLevel="0" collapsed="false">
      <c r="B26" s="158" t="n">
        <v>4</v>
      </c>
      <c r="C26" s="127" t="s">
        <v>727</v>
      </c>
      <c r="D26" s="173" t="n">
        <v>148000</v>
      </c>
      <c r="E26" s="149" t="n">
        <f aca="false">Расходы!$D$16</f>
        <v>52000</v>
      </c>
      <c r="F26" s="111" t="n">
        <f aca="false">IF(ISNUMBER(E26),E26-D26,"")</f>
        <v>-96000</v>
      </c>
      <c r="G26" s="165" t="str">
        <f aca="false">IF(NOT(ISNUMBER(E26)),"расхождение",IF(ROUND(E26,0)=D26,"совпадает",IF(ABS(E26-D26)&lt;=1,"≈ округление","расхождение")))</f>
        <v>расхождение</v>
      </c>
      <c r="H26" s="174"/>
    </row>
    <row r="27" customFormat="false" ht="17.25" hidden="false" customHeight="true" outlineLevel="0" collapsed="false">
      <c r="B27" s="158" t="n">
        <v>5</v>
      </c>
      <c r="C27" s="127" t="s">
        <v>728</v>
      </c>
      <c r="D27" s="173" t="n">
        <v>416000</v>
      </c>
      <c r="E27" s="149" t="n">
        <f aca="false">Расходы!$E$16</f>
        <v>412651.25</v>
      </c>
      <c r="F27" s="111" t="n">
        <f aca="false">IF(ISNUMBER(E27),E27-D27,"")</f>
        <v>-3348.75</v>
      </c>
      <c r="G27" s="165" t="str">
        <f aca="false">IF(NOT(ISNUMBER(E27)),"расхождение",IF(ROUND(E27,0)=D27,"совпадает",IF(ABS(E27-D27)&lt;=1,"≈ округление","расхождение")))</f>
        <v>расхождение</v>
      </c>
      <c r="H27" s="174"/>
    </row>
    <row r="28" customFormat="false" ht="17.25" hidden="false" customHeight="true" outlineLevel="0" collapsed="false">
      <c r="B28" s="158" t="n">
        <v>6</v>
      </c>
      <c r="C28" s="127" t="s">
        <v>729</v>
      </c>
      <c r="D28" s="173" t="n">
        <v>291000</v>
      </c>
      <c r="E28" s="149" t="n">
        <f aca="false">Выручка!$F$19</f>
        <v>133953.75</v>
      </c>
      <c r="F28" s="111" t="n">
        <f aca="false">IF(ISNUMBER(E28),E28-D28,"")</f>
        <v>-157046.25</v>
      </c>
      <c r="G28" s="165" t="str">
        <f aca="false">IF(NOT(ISNUMBER(E28)),"расхождение",IF(ROUND(E28,0)=D28,"совпадает",IF(ABS(E28-D28)&lt;=1,"≈ округление","расхождение")))</f>
        <v>расхождение</v>
      </c>
      <c r="H28" s="174"/>
    </row>
    <row r="29" customFormat="false" ht="17.25" hidden="false" customHeight="true" outlineLevel="0" collapsed="false">
      <c r="B29" s="158" t="n">
        <v>7</v>
      </c>
      <c r="C29" s="127" t="s">
        <v>730</v>
      </c>
      <c r="D29" s="173" t="n">
        <v>551408</v>
      </c>
      <c r="E29" s="149" t="n">
        <f aca="false">Выручка!$F$25</f>
        <v>230364</v>
      </c>
      <c r="F29" s="111" t="n">
        <f aca="false">IF(ISNUMBER(E29),E29-D29,"")</f>
        <v>-321044</v>
      </c>
      <c r="G29" s="165" t="str">
        <f aca="false">IF(NOT(ISNUMBER(E29)),"расхождение",IF(ROUND(E29,0)=D29,"совпадает",IF(ABS(E29-D29)&lt;=1,"≈ округление","расхождение")))</f>
        <v>расхождение</v>
      </c>
      <c r="H29" s="174"/>
    </row>
    <row r="30" customFormat="false" ht="17.25" hidden="false" customHeight="true" outlineLevel="0" collapsed="false">
      <c r="B30" s="158" t="n">
        <v>8</v>
      </c>
      <c r="C30" s="127" t="s">
        <v>731</v>
      </c>
      <c r="D30" s="173" t="n">
        <v>141819</v>
      </c>
      <c r="E30" s="149" t="n">
        <f aca="false">Выручка!$F$31</f>
        <v>248198.4</v>
      </c>
      <c r="F30" s="111" t="n">
        <f aca="false">IF(ISNUMBER(E30),E30-D30,"")</f>
        <v>106379.4</v>
      </c>
      <c r="G30" s="165" t="str">
        <f aca="false">IF(NOT(ISNUMBER(E30)),"расхождение",IF(ROUND(E30,0)=D30,"совпадает",IF(ABS(E30-D30)&lt;=1,"≈ округление","расхождение")))</f>
        <v>расхождение</v>
      </c>
      <c r="H30" s="174" t="s">
        <v>732</v>
      </c>
    </row>
    <row r="31" customFormat="false" ht="17.25" hidden="false" customHeight="true" outlineLevel="0" collapsed="false">
      <c r="B31" s="158" t="n">
        <v>9</v>
      </c>
      <c r="C31" s="127" t="s">
        <v>733</v>
      </c>
      <c r="D31" s="173" t="n">
        <v>984227</v>
      </c>
      <c r="E31" s="149" t="n">
        <f aca="false">Выручка!$F$36</f>
        <v>612516.15</v>
      </c>
      <c r="F31" s="111" t="n">
        <f aca="false">IF(ISNUMBER(E31),E31-D31,"")</f>
        <v>-371710.85</v>
      </c>
      <c r="G31" s="165" t="str">
        <f aca="false">IF(NOT(ISNUMBER(E31)),"расхождение",IF(ROUND(E31,0)=D31,"совпадает",IF(ABS(E31-D31)&lt;=1,"≈ округление","расхождение")))</f>
        <v>расхождение</v>
      </c>
      <c r="H31" s="174"/>
    </row>
    <row r="32" customFormat="false" ht="17.25" hidden="false" customHeight="true" outlineLevel="0" collapsed="false">
      <c r="B32" s="158" t="n">
        <v>10</v>
      </c>
      <c r="C32" s="127" t="s">
        <v>734</v>
      </c>
      <c r="D32" s="175" t="n">
        <v>0.856</v>
      </c>
      <c r="E32" s="176" t="n">
        <f aca="false">Выручка!$F$37</f>
        <v>0.594788806793094</v>
      </c>
      <c r="F32" s="115" t="n">
        <f aca="false">IF(ISNUMBER(E32),E32-D32,"")</f>
        <v>-0.261211193206906</v>
      </c>
      <c r="G32" s="165" t="str">
        <f aca="false">IF(NOT(ISNUMBER(E32)),"расхождение",IF(ROUND(E32,3)=D32,"совпадает",IF(ABS(E32-D32)&lt;=0.001,"≈ округление","расхождение")))</f>
        <v>расхождение</v>
      </c>
      <c r="H32" s="174"/>
    </row>
    <row r="33" customFormat="false" ht="17.25" hidden="false" customHeight="true" outlineLevel="0" collapsed="false">
      <c r="B33" s="158" t="n">
        <v>11</v>
      </c>
      <c r="C33" s="127" t="s">
        <v>735</v>
      </c>
      <c r="D33" s="173" t="n">
        <v>420227</v>
      </c>
      <c r="E33" s="149" t="n">
        <f aca="false">ОПиУ!$F$26</f>
        <v>110635.14</v>
      </c>
      <c r="F33" s="111" t="n">
        <f aca="false">IF(ISNUMBER(E33),E33-D33,"")</f>
        <v>-309591.86</v>
      </c>
      <c r="G33" s="165" t="str">
        <f aca="false">IF(NOT(ISNUMBER(E33)),"расхождение",IF(ROUND(E33,0)=D33,"совпадает",IF(ABS(E33-D33)&lt;=1,"≈ округление","расхождение")))</f>
        <v>расхождение</v>
      </c>
      <c r="H33" s="174"/>
    </row>
    <row r="34" customFormat="false" ht="17.25" hidden="false" customHeight="true" outlineLevel="0" collapsed="false">
      <c r="B34" s="158" t="n">
        <v>12</v>
      </c>
      <c r="C34" s="127" t="s">
        <v>736</v>
      </c>
      <c r="D34" s="173" t="n">
        <v>388679</v>
      </c>
      <c r="E34" s="149" t="n">
        <f aca="false">ОПиУ!$F$29</f>
        <v>110635.14</v>
      </c>
      <c r="F34" s="111" t="n">
        <f aca="false">IF(ISNUMBER(E34),E34-D34,"")</f>
        <v>-278043.86</v>
      </c>
      <c r="G34" s="165" t="str">
        <f aca="false">IF(NOT(ISNUMBER(E34)),"расхождение",IF(ROUND(E34,0)=D34,"совпадает",IF(ABS(E34-D34)&lt;=50,"≈ округление","расхождение")))</f>
        <v>расхождение</v>
      </c>
      <c r="H34" s="174" t="s">
        <v>737</v>
      </c>
    </row>
    <row r="35" customFormat="false" ht="17.25" hidden="false" customHeight="true" outlineLevel="0" collapsed="false">
      <c r="B35" s="158" t="n">
        <v>13</v>
      </c>
      <c r="C35" s="127" t="s">
        <v>738</v>
      </c>
      <c r="D35" s="173" t="n">
        <v>5054</v>
      </c>
      <c r="E35" s="149" t="n">
        <f aca="false">-ОПиУ!$F$30</f>
        <v>-0</v>
      </c>
      <c r="F35" s="111" t="n">
        <f aca="false">IF(ISNUMBER(E35),E35-D35,"")</f>
        <v>-5054</v>
      </c>
      <c r="G35" s="165" t="str">
        <f aca="false">IF(NOT(ISNUMBER(E35)),"расхождение",IF(ROUND(E35,0)=D35,"совпадает",IF(ABS(E35-D35)&lt;=1,"≈ округление","расхождение")))</f>
        <v>расхождение</v>
      </c>
      <c r="H35" s="174" t="s">
        <v>739</v>
      </c>
    </row>
    <row r="36" customFormat="false" ht="17.25" hidden="false" customHeight="true" outlineLevel="0" collapsed="false">
      <c r="B36" s="158" t="n">
        <v>14</v>
      </c>
      <c r="C36" s="127" t="s">
        <v>740</v>
      </c>
      <c r="D36" s="173" t="n">
        <v>383625</v>
      </c>
      <c r="E36" s="149" t="n">
        <f aca="false">ОПиУ!$F$31</f>
        <v>110635.14</v>
      </c>
      <c r="F36" s="111" t="n">
        <f aca="false">IF(ISNUMBER(E36),E36-D36,"")</f>
        <v>-272989.86</v>
      </c>
      <c r="G36" s="165" t="str">
        <f aca="false">IF(NOT(ISNUMBER(E36)),"расхождение",IF(ROUND(E36,0)=D36,"совпадает",IF(ABS(E36-D36)&lt;=50,"≈ округление","расхождение")))</f>
        <v>расхождение</v>
      </c>
      <c r="H36" s="174" t="s">
        <v>737</v>
      </c>
    </row>
    <row r="37" customFormat="false" ht="17.25" hidden="false" customHeight="true" outlineLevel="0" collapsed="false">
      <c r="B37" s="158" t="n">
        <v>15</v>
      </c>
      <c r="C37" s="127" t="s">
        <v>741</v>
      </c>
      <c r="D37" s="173" t="n">
        <v>583625</v>
      </c>
      <c r="E37" s="149" t="n">
        <f aca="false">ДДС!$S$27</f>
        <v>310635.14</v>
      </c>
      <c r="F37" s="111" t="n">
        <f aca="false">IF(ISNUMBER(E37),E37-D37,"")</f>
        <v>-272989.86</v>
      </c>
      <c r="G37" s="165" t="str">
        <f aca="false">IF(NOT(ISNUMBER(E37)),"расхождение",IF(ROUND(E37,0)=D37,"совпадает",IF(ABS(E37-D37)&lt;=50,"≈ округление","расхождение")))</f>
        <v>расхождение</v>
      </c>
      <c r="H37" s="174"/>
    </row>
    <row r="38" customFormat="false" ht="17.25" hidden="false" customHeight="true" outlineLevel="0" collapsed="false">
      <c r="B38" s="158" t="n">
        <v>16</v>
      </c>
      <c r="C38" s="127" t="s">
        <v>742</v>
      </c>
      <c r="D38" s="173" t="n">
        <v>5428</v>
      </c>
      <c r="E38" s="149" t="n">
        <f aca="false">BEP_MAU</f>
        <v>6236.42816914446</v>
      </c>
      <c r="F38" s="111" t="n">
        <f aca="false">IF(ISNUMBER(E38),E38-D38,"")</f>
        <v>808.428169144456</v>
      </c>
      <c r="G38" s="165" t="str">
        <f aca="false">IF(NOT(ISNUMBER(E38)),"расхождение",IF(ROUND(E38,0)=D38,"совпадает",IF(ABS(E38-D38)&lt;=30,"≈ округление","расхождение")))</f>
        <v>расхождение</v>
      </c>
      <c r="H38" s="174" t="s">
        <v>743</v>
      </c>
    </row>
    <row r="39" customFormat="false" ht="17.25" hidden="false" customHeight="true" outlineLevel="0" collapsed="false">
      <c r="B39" s="158" t="n">
        <v>17</v>
      </c>
      <c r="C39" s="127" t="s">
        <v>744</v>
      </c>
      <c r="D39" s="177" t="s">
        <v>745</v>
      </c>
      <c r="E39" s="178" t="str">
        <f aca="false">BEP_месяц</f>
        <v>Апр 2027</v>
      </c>
      <c r="F39" s="107"/>
      <c r="G39" s="165" t="str">
        <f aca="false">IF(E39=D39,"совпадает","расхождение")</f>
        <v>расхождение</v>
      </c>
      <c r="H39" s="174"/>
    </row>
    <row r="40" customFormat="false" ht="27.75" hidden="false" customHeight="true" outlineLevel="0" collapsed="false">
      <c r="B40" s="158" t="n">
        <v>18</v>
      </c>
      <c r="C40" s="127" t="s">
        <v>746</v>
      </c>
      <c r="D40" s="173" t="n">
        <v>177684</v>
      </c>
      <c r="E40" s="149" t="n">
        <f aca="false">ДДС!$S$34</f>
        <v>110635.14</v>
      </c>
      <c r="F40" s="111" t="n">
        <f aca="false">IF(ISNUMBER(E40),E40-D40,"")</f>
        <v>-67048.86</v>
      </c>
      <c r="G40" s="165" t="str">
        <f aca="false">IF(NOT(ISNUMBER(E40)),"расхождение",IF(ROUND(E40,0)=D40,"совпадает",IF(ABS(E40-D40)&lt;=50,"≈ округление","расхождение")))</f>
        <v>расхождение</v>
      </c>
      <c r="H40" s="174" t="str">
        <f aca="false">"помесячные цифры docx не сходятся с его же ОПиУ и ДДС: первый месяц после релиза "&amp;(FIXED(IFERROR(INDEX(ДДС!$H$33:$S$33,1,Дев_мес+1),0),0))&amp;" ₽ вместо -60 924 ₽. И это не остаток на счетах: денег на конец "&amp;(FIXED(ДДС!$S$27,0))&amp;" ₽"</f>
        <v>помесячные цифры docx не сходятся с его же ОПиУ и ДДС: первый месяц после релиза -37,094 ₽ вместо -60 924 ₽. И это не остаток на счетах: денег на конец 310,635 ₽</v>
      </c>
    </row>
    <row r="41" customFormat="false" ht="17.25" hidden="false" customHeight="true" outlineLevel="0" collapsed="false">
      <c r="B41" s="158" t="n">
        <v>19</v>
      </c>
      <c r="C41" s="127" t="s">
        <v>747</v>
      </c>
      <c r="D41" s="179" t="n">
        <v>12</v>
      </c>
      <c r="E41" s="180" t="n">
        <f aca="false">IF(ISNUMBER(PP_docx),ROUNDUP(PP_docx,0),PP_docx)</f>
        <v>11</v>
      </c>
      <c r="F41" s="181" t="n">
        <f aca="false">IF(ISNUMBER(E41),E41-D41,"")</f>
        <v>-1</v>
      </c>
      <c r="G41" s="165" t="str">
        <f aca="false">IF(NOT(ISNUMBER(E41)),"расхождение",IF(ROUND(E41,0)=D41,"совпадает",IF(ABS(E41-D41)&lt;=0,"≈ округление","расхождение")))</f>
        <v>расхождение</v>
      </c>
      <c r="H41" s="174" t="s">
        <v>748</v>
      </c>
    </row>
    <row r="42" customFormat="false" ht="27.75" hidden="false" customHeight="true" outlineLevel="0" collapsed="false">
      <c r="B42" s="158" t="n">
        <v>20</v>
      </c>
      <c r="C42" s="127" t="s">
        <v>749</v>
      </c>
      <c r="D42" s="182" t="n">
        <v>11</v>
      </c>
      <c r="E42" s="183" t="n">
        <f aca="false">PP_docx</f>
        <v>10.9961710683468</v>
      </c>
      <c r="F42" s="181" t="n">
        <f aca="false">IF(ISNUMBER(E42),E42-D42,"")</f>
        <v>-0.00382893165315146</v>
      </c>
      <c r="G42" s="165" t="str">
        <f aca="false">IF(NOT(ISNUMBER(E42)),"расхождение",IF(ROUND(E42,0)=D42,"совпадает",IF(ABS(E42-D42)&lt;=0.5,"≈ округление","расхождение")))</f>
        <v>совпадает</v>
      </c>
      <c r="H42" s="174" t="str">
        <f aca="false">"это тот же показатель, что и полный срок: "&amp;(IF(ISNUMBER(PP_docx),FIXED(PP_docx,1)&amp;" мес. ("&amp;PP_docx_мес&amp;")","за пределами 12 месяцев"))&amp;". Число docx верное, но месяц не июль: по таблице самого docx в июле поток ещё -12 331 ₽"</f>
        <v>это тот же показатель, что и полный срок: 11.0 мес. (Июл 2027). Число docx верное, но месяц не июль: по таблице самого docx в июле поток ещё -12 331 ₽</v>
      </c>
    </row>
    <row r="43" customFormat="false" ht="17.25" hidden="false" customHeight="true" outlineLevel="0" collapsed="false">
      <c r="B43" s="158" t="n">
        <v>21</v>
      </c>
      <c r="C43" s="127" t="s">
        <v>750</v>
      </c>
      <c r="D43" s="175" t="n">
        <v>1.92</v>
      </c>
      <c r="E43" s="176" t="n">
        <f aca="false">KPI_ROI</f>
        <v>0.5531757</v>
      </c>
      <c r="F43" s="115" t="n">
        <f aca="false">IF(ISNUMBER(E43),E43-D43,"")</f>
        <v>-1.3668243</v>
      </c>
      <c r="G43" s="165" t="str">
        <f aca="false">IF(NOT(ISNUMBER(E43)),"расхождение",IF(ROUND(E43,2)=D43,"совпадает",IF(ABS(E43-D43)&lt;=0.005,"≈ округление","расхождение")))</f>
        <v>расхождение</v>
      </c>
      <c r="H43" s="174"/>
    </row>
    <row r="44" customFormat="false" ht="17.25" hidden="false" customHeight="true" outlineLevel="0" collapsed="false">
      <c r="B44" s="158" t="n">
        <v>22</v>
      </c>
      <c r="C44" s="127" t="s">
        <v>751</v>
      </c>
      <c r="D44" s="175" t="n">
        <v>0.389</v>
      </c>
      <c r="E44" s="176" t="n">
        <f aca="false">KPI_ЧП_м</f>
        <v>0.18062403742334</v>
      </c>
      <c r="F44" s="115" t="n">
        <f aca="false">IF(ISNUMBER(E44),E44-D44,"")</f>
        <v>-0.20837596257666</v>
      </c>
      <c r="G44" s="165" t="str">
        <f aca="false">IF(NOT(ISNUMBER(E44)),"расхождение",IF(ROUND(E44,3)=D44,"совпадает",IF(ABS(E44-D44)&lt;=0.002,"≈ округление","расхождение")))</f>
        <v>расхождение</v>
      </c>
      <c r="H44" s="174" t="s">
        <v>752</v>
      </c>
    </row>
    <row r="45" customFormat="false" ht="17.25" hidden="true" customHeight="true" outlineLevel="0" collapsed="false">
      <c r="B45" s="158" t="n">
        <v>23</v>
      </c>
      <c r="C45" s="127" t="s">
        <v>753</v>
      </c>
      <c r="D45" s="184" t="n">
        <v>0.48</v>
      </c>
      <c r="E45" s="185" t="n">
        <f aca="false">Debt_EBITDA</f>
        <v>0</v>
      </c>
      <c r="F45" s="186" t="n">
        <f aca="false">IF(ISNUMBER(E45),E45-D45,"")</f>
        <v>-0.48</v>
      </c>
      <c r="G45" s="165" t="str">
        <f aca="false">IF(NOT(ISNUMBER(E45)),"расхождение",IF(ROUND(E45,2)=D45,"совпадает",IF(ABS(E45-D45)&lt;=0.005,"≈ округление","расхождение")))</f>
        <v>расхождение</v>
      </c>
      <c r="H45" s="174"/>
    </row>
    <row r="46" customFormat="false" ht="17.25" hidden="false" customHeight="true" outlineLevel="0" collapsed="false">
      <c r="B46" s="158" t="n">
        <v>24</v>
      </c>
      <c r="C46" s="127" t="s">
        <v>754</v>
      </c>
      <c r="D46" s="173" t="n">
        <v>95906</v>
      </c>
      <c r="E46" s="149" t="n">
        <f aca="false">ОПиУ!$F$31*Доля_1</f>
        <v>27658.785</v>
      </c>
      <c r="F46" s="111" t="n">
        <f aca="false">IF(ISNUMBER(E46),E46-D46,"")</f>
        <v>-68247.215</v>
      </c>
      <c r="G46" s="165" t="str">
        <f aca="false">IF(NOT(ISNUMBER(E46)),"расхождение",IF(ROUND(E46,0)=D46,"совпадает",IF(ABS(E46-D46)&lt;=20,"≈ округление","расхождение")))</f>
        <v>расхождение</v>
      </c>
      <c r="H46" s="174"/>
    </row>
    <row r="47" customFormat="false" ht="17.25" hidden="false" customHeight="true" outlineLevel="0" collapsed="false">
      <c r="B47" s="158" t="n">
        <v>25</v>
      </c>
      <c r="C47" s="127" t="s">
        <v>755</v>
      </c>
      <c r="D47" s="173" t="n">
        <v>600000</v>
      </c>
      <c r="E47" s="149" t="n">
        <f aca="false">Сценарии!$D$10</f>
        <v>242152.62</v>
      </c>
      <c r="F47" s="111" t="n">
        <f aca="false">IF(ISNUMBER(E47),E47-D47,"")</f>
        <v>-357847.38</v>
      </c>
      <c r="G47" s="165" t="str">
        <f aca="false">IF(NOT(ISNUMBER(E47)),"расхождение",IF(ROUND(E47,0)=D47,"совпадает",IF(ABS(E47-D47)&lt;=1000,"≈ округление","расхождение")))</f>
        <v>расхождение</v>
      </c>
      <c r="H47" s="174" t="s">
        <v>756</v>
      </c>
    </row>
    <row r="48" customFormat="false" ht="17.25" hidden="false" customHeight="true" outlineLevel="0" collapsed="false">
      <c r="B48" s="158" t="n">
        <v>26</v>
      </c>
      <c r="C48" s="127" t="s">
        <v>757</v>
      </c>
      <c r="D48" s="173" t="n">
        <v>150000</v>
      </c>
      <c r="E48" s="149" t="n">
        <f aca="false">Сценарии!$F$10</f>
        <v>-61712.62</v>
      </c>
      <c r="F48" s="111" t="n">
        <f aca="false">IF(ISNUMBER(E48),E48-D48,"")</f>
        <v>-211712.62</v>
      </c>
      <c r="G48" s="165" t="str">
        <f aca="false">IF(NOT(ISNUMBER(E48)),"расхождение",IF(ROUND(E48,0)=D48,"совпадает",IF(ABS(E48-D48)&lt;=1000,"≈ округление","расхождение")))</f>
        <v>расхождение</v>
      </c>
      <c r="H48" s="174" t="str">
        <f aca="false">"полная логика при тех же расходах; с маркетингом "&amp;(FIXED(Допущения!$H$85,0))&amp;" ₽/мес: "&amp;(FIXED(Сценарии!$G$10,0))&amp;" ₽"</f>
        <v>полная логика при тех же расходах; с маркетингом 20,000 ₽/мес: -21,713 ₽</v>
      </c>
    </row>
    <row r="49" customFormat="false" ht="17.25" hidden="false" customHeight="true" outlineLevel="0" collapsed="false">
      <c r="B49" s="158" t="n">
        <v>27</v>
      </c>
      <c r="C49" s="127" t="s">
        <v>758</v>
      </c>
      <c r="D49" s="175" t="n">
        <v>0.75</v>
      </c>
      <c r="E49" s="176" t="n">
        <f aca="false">Сценарии!$F$12</f>
        <v>-0.3085631</v>
      </c>
      <c r="F49" s="115" t="n">
        <f aca="false">IF(ISNUMBER(E49),E49-D49,"")</f>
        <v>-1.0585631</v>
      </c>
      <c r="G49" s="165" t="str">
        <f aca="false">IF(NOT(ISNUMBER(E49)),"расхождение",IF(ROUND(E49,2)=D49,"совпадает",IF(ABS(E49-D49)&lt;=0.01,"≈ округление","расхождение")))</f>
        <v>расхождение</v>
      </c>
      <c r="H49" s="174"/>
    </row>
    <row r="50" customFormat="false" ht="14.25" hidden="false" customHeight="false" outlineLevel="0" collapsed="false">
      <c r="C50" s="7" t="str">
        <f aca="false">"Итого: совпадает "&amp;(COUNTIF(G23:G49,"совпадает"))&amp;", округление "&amp;(COUNTIF(G23:G49,"≈ округление"))&amp;", расхождений "&amp;(COUNTIF(G23:G49,"расхождение"))&amp;"."</f>
        <v>Итого: совпадает 1, округление 0, расхождений 26.</v>
      </c>
    </row>
    <row r="52" customFormat="false" ht="16.5" hidden="false" customHeight="true" outlineLevel="0" collapsed="false">
      <c r="B52" s="6" t="s">
        <v>759</v>
      </c>
      <c r="C52" s="6"/>
      <c r="D52" s="6"/>
      <c r="E52" s="6"/>
      <c r="F52" s="6"/>
      <c r="G52" s="6"/>
      <c r="H52" s="6"/>
    </row>
    <row r="53" customFormat="false" ht="27.75" hidden="false" customHeight="true" outlineLevel="0" collapsed="false">
      <c r="B53" s="62" t="s">
        <v>618</v>
      </c>
      <c r="C53" s="55" t="s">
        <v>760</v>
      </c>
      <c r="D53" s="163" t="s">
        <v>761</v>
      </c>
      <c r="E53" s="163"/>
      <c r="F53" s="163"/>
      <c r="G53" s="163"/>
      <c r="H53" s="163"/>
    </row>
    <row r="54" customFormat="false" ht="63.75" hidden="false" customHeight="true" outlineLevel="0" collapsed="false">
      <c r="B54" s="187" t="n">
        <v>1</v>
      </c>
      <c r="C54" s="188" t="s">
        <v>762</v>
      </c>
      <c r="D54" s="189" t="str">
        <f aca="false">"План требует "&amp;FIXED(Выручка!$F$13,0)&amp;" MAU к последнему месяцу, платный трафик даёт около "&amp;FIXED(Показатели!$D$75,0)&amp;" установок в месяц (CAC "&amp;FIXED(Юнит_CAC,0)&amp;" ₽). Если пользователь остаётся активным 2-3 месяца, это порядка "&amp;FIXED(Показатели!$D$75*2,0)&amp;"-"&amp;FIXED(Показатели!$D$75*3,0)&amp;" MAU, остальное должна дать органика. LTV "&amp;FIXED(Юнит_LTV,0)&amp;" ₽ задан, а не рассчитан: при доходе "&amp;FIXED(Показатели!$D$69,2)&amp;" ₽ с MAU в месяц он означает срок жизни "&amp;FIXED(Показатели!$D$74,1)&amp;" мес., обычно это много для мобильных игр. При 3 месяцах LTV около "&amp;FIXED(Показатели!$D$69*3,0)&amp;" ₽ и ниже CAC: платный трафик не окупается. Обоснуйте данными бета-теста. Где поменять: «Допущения», п. 4 и п. 8."</f>
        <v>План требует 20,000 MAU к последнему месяцу, платный трафик даёт около 1,200 установок в месяц (CAC 25 ₽). Если пользователь остаётся активным 2-3 месяца, это порядка 2,400-3,600 MAU, остальное должна дать органика. LTV 80 ₽ задан, а не рассчитан: при доходе 8.33 ₽ с MAU в месяц он означает срок жизни 9.6 мес., обычно это много для мобильных игр. При 3 месяцах LTV около 25 ₽ и ниже CAC: платный трафик не окупается. Обоснуйте данными бета-теста. Где поменять: «Допущения», п. 4 и п. 8.</v>
      </c>
      <c r="E54" s="189"/>
      <c r="F54" s="189"/>
      <c r="G54" s="189"/>
      <c r="H54" s="189"/>
    </row>
    <row r="55" customFormat="false" ht="49.5" hidden="false" customHeight="true" outlineLevel="0" collapsed="false">
      <c r="B55" s="187" t="n">
        <v>2</v>
      </c>
      <c r="C55" s="188" t="s">
        <v>763</v>
      </c>
      <c r="D55" s="189" t="str">
        <f aca="false">"Сейчас DAU/MAU "&amp;FIXED(DAU_MAU*100,0)&amp;"% (в первой версии 100%). Чистая прибыль уходит в ноль при DAU/MAU около "&amp;FIXED(IFERROR(100*(Чувствительность!$F$30-(Чувствительность!$F$30-Чувствительность!$G$30)*Чувствительность!$F$32/(Чувствительность!$F$32-Чувствительность!$G$32)),0),0)&amp;"%: при "&amp;FIXED(Чувствительность!$G$30*100,0)&amp;"% она "&amp;FIXED(Чувствительность!$G$32,0)&amp;" ₽. Подтвердите данными бета-теста: при выходе глав раз в неделю доля может быть ниже. Где поменять: «Допущения», п. 3; «Чувствительность», п. 3."</f>
        <v>Сейчас DAU/MAU 30% (в первой версии 100%). Чистая прибыль уходит в ноль при DAU/MAU около 20%: при 20% она 4,080 ₽. Подтвердите данными бета-теста: при выходе глав раз в неделю доля может быть ниже. Где поменять: «Допущения», п. 3; «Чувствительность», п. 3.</v>
      </c>
      <c r="E55" s="189"/>
      <c r="F55" s="189"/>
      <c r="G55" s="189"/>
      <c r="H55" s="189"/>
    </row>
    <row r="56" s="190" customFormat="true" ht="35.25" hidden="false" customHeight="true" outlineLevel="0" collapsed="false">
      <c r="B56" s="191" t="n">
        <v>3</v>
      </c>
      <c r="C56" s="192" t="s">
        <v>764</v>
      </c>
      <c r="D56" s="193" t="str">
        <f aca="false">"Ставки пока ничем не подтверждены. При ставках первой версии чистая прибыль была бы "&amp;FIXED((ОПиУ!$F$31-(Выручка!$F$19*(1-100/(Int_eCPM*Сц_eCPM))+Выручка!$F$25*(1-150/(Rew_eCPM*Сц_eCPM)))*(1-Ставка_УСН)),0)&amp;" ₽. Реклама даёт "&amp;FIXED(Выручка!$F$37*100,0)&amp;"% выручки. Подтвердите прайсом или тестовой кампанией сетей и укажите источник на защите. Где поменять: «Допущения», п. 3."</f>
        <v>Ставки пока ничем не подтверждены. При ставках первой версии чистая прибыль была бы 14,527 ₽. Реклама даёт 59% выручки. Подтвердите прайсом или тестовой кампанией сетей и укажите источник на защите. Где поменять: «Допущения», п. 3.</v>
      </c>
      <c r="E56" s="193"/>
      <c r="F56" s="193"/>
      <c r="G56" s="193"/>
      <c r="H56" s="193"/>
    </row>
    <row r="57" s="190" customFormat="true" ht="49.5" hidden="false" customHeight="true" outlineLevel="0" collapsed="false">
      <c r="B57" s="191" t="n">
        <v>4</v>
      </c>
      <c r="C57" s="192" t="s">
        <v>765</v>
      </c>
      <c r="D57" s="193" t="str">
        <f aca="false">"Заложено, что "&amp;FIXED(Выручка!$E$22*100,0)&amp;"% активных в день игроков смотрят rewarded по "&amp;FIXED(Rew_просмотров,1)&amp;" раза. Это высокая планка, rewarded даёт "&amp;FIXED(Выручка!$F$25/Выручка!$F$36*100,0)&amp;"% выручки. Если смотрит каждый второй игрок (40%), чистая прибыль около "&amp;FIXED(KPI_ЧП-Выручка!$F$25*(1-0.4/Выручка!$E$22)*(1-Ставка_УСН),0)&amp;" ₽. Обоснуйте долями из бета-теста. Где поменять: «Допущения», п. 3 и п. 4."</f>
        <v>Заложено, что 85% активных в день игроков смотрят rewarded по 2.0 раза. Это высокая планка, rewarded даёт 38% выручки. Если смотрит каждый второй игрок (40%), чистая прибыль около -4,005 ₽. Обоснуйте долями из бета-теста. Где поменять: «Допущения», п. 3 и п. 4.</v>
      </c>
      <c r="E57" s="193"/>
      <c r="F57" s="193"/>
      <c r="G57" s="193"/>
      <c r="H57" s="193"/>
    </row>
    <row r="58" customFormat="false" ht="49.5" hidden="false" customHeight="true" outlineLevel="0" collapsed="false">
      <c r="B58" s="187" t="n">
        <v>5</v>
      </c>
      <c r="C58" s="188" t="s">
        <v>766</v>
      </c>
      <c r="D58" s="189" t="str">
        <f aca="false">"Сейчас деньги приходят в месяц начисления, а рекламные сети и магазины обычно платят по итогам месяца. Если выручка приходит на месяц позже, минимальный остаток денег "&amp;FIXED(ДДС!$F$37,0)&amp;" ₽ вместо "&amp;FIXED(KPI_мин_деньги,0)&amp;" ₽: запас почти исчезает. Поставьте лаг 1 мес. в базовый расчёт или заранее предусмотрите резерв. Где поменять: «Допущения», п. 3 «Лаг поступления выручки»."</f>
        <v>Сейчас деньги приходят в месяц начисления, а рекламные сети и магазины обычно платят по итогам месяца. Если выручка приходит на месяц позже, минимальный остаток денег 18,151 ₽ вместо 69,243 ₽: запас почти исчезает. Поставьте лаг 1 мес. в базовый расчёт или заранее предусмотрите резерв. Где поменять: «Допущения», п. 3 «Лаг поступления выручки».</v>
      </c>
      <c r="E58" s="189"/>
      <c r="F58" s="189"/>
      <c r="G58" s="189"/>
      <c r="H58" s="189"/>
    </row>
    <row r="59" customFormat="false" ht="49.5" hidden="false" customHeight="true" outlineLevel="0" collapsed="false">
      <c r="B59" s="187" t="n">
        <v>6</v>
      </c>
      <c r="C59" s="188" t="s">
        <v>767</v>
      </c>
      <c r="D59" s="189" t="str">
        <f aca="false">"16 глав в темпе одна в неделю занимают ровно 4 месяца без запаса. При релизе на "&amp;Стресс_задержка&amp;" мес. позже чистая прибыль "&amp;FIXED(Сценарии!$D$27,0)&amp;" ₽, минимальный остаток денег "&amp;FIXED(Сценарии!$D$29,0)&amp;" ₽. Заложите буфер или запускайте первую историю раньше. Где поменять: «Допущения», п. 1; «Сценарии»."</f>
        <v>16 глав в темпе одна в неделю занимают ровно 4 месяца без запаса. При релизе на 2 мес. позже чистая прибыль -81,664 ₽, минимальный остаток денег 61,243 ₽. Заложите буфер или запускайте первую историю раньше. Где поменять: «Допущения», п. 1; «Сценарии».</v>
      </c>
      <c r="E59" s="189"/>
      <c r="F59" s="189"/>
      <c r="G59" s="189"/>
      <c r="H59" s="189"/>
    </row>
    <row r="60" customFormat="false" ht="63.75" hidden="false" customHeight="true" outlineLevel="0" collapsed="false">
      <c r="B60" s="187" t="n">
        <v>7</v>
      </c>
      <c r="C60" s="188" t="s">
        <v>768</v>
      </c>
      <c r="D60" s="189" t="str">
        <f aca="false">"Сейчас УСН «Доходы» "&amp;FIXED(Ставка_УСН*100,0)&amp;"% у ООО без вычета взносов: налог "&amp;FIXED(-ОПиУ!$F$30,0)&amp;" ₽. Расходы и комиссия составляют "&amp;FIXED(-(ОПиУ!$F$24+ОПиУ!$F$16)/ОПиУ!$F$15*100,0)&amp;"% выручки, поэтому «Доходы минус расходы» (15%, ставка региона может быть ниже) дали бы около "&amp;FIXED(MAX(0.15*(ОПиУ!$F$15+ОПиУ!$F$16+ОПиУ!$F$24+ОПиУ!$F$28),0.01*ОПиУ!$F$15),0)&amp;" ₽, на "&amp;FIXED(-ОПиУ!$F$30-MAX(0.15*(ОПиУ!$F$15+ОПиУ!$F$16+ОПиУ!$F$24+ОПиУ!$F$28),0.01*ОПиУ!$F$15),0)&amp;" ₽ меньше. Модель считает только режим «Доходы». С 1 февраля 2026 монетизация в RuStore доступна только ИП и юрлицам, режим выбирается при регистрации. Где поменять: «Допущения», п. 6."</f>
        <v>Сейчас УСН «Доходы» 6% у ООО без вычета взносов: налог 0 ₽. Расходы и комиссия составляют 82% выручки, поэтому «Доходы минус расходы» (15%, ставка региона может быть ниже) дали бы около 16,595 ₽, на -16,595 ₽ меньше. Модель считает только режим «Доходы». С 1 февраля 2026 монетизация в RuStore доступна только ИП и юрлицам, режим выбирается при регистрации. Где поменять: «Допущения», п. 6.</v>
      </c>
      <c r="E60" s="189"/>
      <c r="F60" s="189"/>
      <c r="G60" s="189"/>
      <c r="H60" s="189"/>
    </row>
    <row r="61" customFormat="false" ht="49.5" hidden="false" customHeight="true" outlineLevel="0" collapsed="false">
      <c r="B61" s="187" t="n">
        <v>8</v>
      </c>
      <c r="C61" s="188" t="s">
        <v>769</v>
      </c>
      <c r="D61" s="189" t="str">
        <f aca="false">"Не заложены регистрация ООО, музыка и озвучка, лицензии, комиссия платёжного провайдера, юрист по контенту, резерв на ошибки. Каждые 10 000 ₽ в месяц после релиза уменьшают прибыль на "&amp;FIXED(10000*Опер_мес,0)&amp;" ₽ за "&amp;Опер_мес&amp;" мес. ("&amp;FIXED(10000*Опер_мес/ОПиУ!$F$31*100,0)&amp;"% планового результата). Где поменять: «Допущения», п. 5."</f>
        <v>Не заложены регистрация ООО, музыка и озвучка, лицензии, комиссия платёжного провайдера, юрист по контенту, резерв на ошибки. Каждые 10 000 ₽ в месяц после релиза уменьшают прибыль на 80,000 ₽ за 8 мес. (72% планового результата). Где поменять: «Допущения», п. 5.</v>
      </c>
      <c r="E61" s="189"/>
      <c r="F61" s="189"/>
      <c r="G61" s="189"/>
      <c r="H61" s="189"/>
    </row>
    <row r="62" customFormat="false" ht="49.5" hidden="false" customHeight="true" outlineLevel="0" collapsed="false">
      <c r="B62" s="187" t="n">
        <v>9</v>
      </c>
      <c r="C62" s="188" t="s">
        <v>770</v>
      </c>
      <c r="D62" s="189" t="str">
        <f aca="false">"Строка в «Допущениях» называется «Затраты на ИИ-сервисы» ("&amp;FIXED(Зп_опер,0)&amp;" ₽ в месяц), но на листах «Команда» и «Защита» эта сумма числилась как оплата разработчика ("&amp;FIXED(Расходы!$F$12,0)&amp;" ₽ за год). Подписи приведены в соответствие: оплаты команде нет. Если на ИИ-сервисы реально уходит 2 000 ₽ в месяц, прибыль выше на "&amp;FIXED((Зп_опер-2000)*12,0)&amp;" ₽ за 12 мес. Уточните сумму. Где поменять: «Допущения», п. 5."</f>
        <v>Строка в «Допущениях» называется «Затраты на ИИ-сервисы» (4,000 ₽ в месяц), но на листах «Команда» и «Защита» эта сумма числилась как оплата разработчика (92,651 ₽ за год). Подписи приведены в соответствие: оплаты команде нет. Если на ИИ-сервисы реально уходит 2 000 ₽ в месяц, прибыль выше на 24,000 ₽ за 12 мес. Уточните сумму. Где поменять: «Допущения», п. 5.</v>
      </c>
      <c r="E62" s="189"/>
      <c r="F62" s="189"/>
      <c r="G62" s="189"/>
      <c r="H62" s="189"/>
    </row>
    <row r="63" customFormat="false" ht="49.5" hidden="false" customHeight="true" outlineLevel="0" collapsed="false">
      <c r="B63" s="187" t="n">
        <v>10</v>
      </c>
      <c r="C63" s="188" t="s">
        <v>771</v>
      </c>
      <c r="D63" s="189" t="str">
        <f aca="false">"Проект финансируется только собственными средствами: "&amp;FIXED(Собств_капитал,0)&amp;" ₽. Минимальный остаток денег "&amp;FIXED(KPI_мин_деньги,0)&amp;" ₽ ("&amp;KPI_мин_деньги_мес&amp;"), при лаге выплат в 1 мес. "&amp;FIXED(ДДС!$F$37,0)&amp;" ₽. Заложите резерв на случай отставания MAU или сдвига выплат. Где поменять: «Допущения», п. 2."</f>
        <v>Проект финансируется только собственными средствами: 200,000 ₽. Минимальный остаток денег 69,243 ₽ (Мар 2027), при лаге выплат в 1 мес. 18,151 ₽. Заложите резерв на случай отставания MAU или сдвига выплат. Где поменять: «Допущения», п. 2.</v>
      </c>
      <c r="E63" s="189"/>
      <c r="F63" s="189"/>
      <c r="G63" s="189"/>
      <c r="H63" s="189"/>
    </row>
    <row r="64" customFormat="false" ht="49.5" hidden="false" customHeight="true" outlineLevel="0" collapsed="false">
      <c r="B64" s="187" t="n">
        <v>11</v>
      </c>
      <c r="C64" s="188" t="s">
        <v>772</v>
      </c>
      <c r="D64" s="189" t="str">
        <f aca="false">"Ставка дисконтирования "&amp;FIXED(Ставка_дисконта*100,0)&amp;"% задана по умолчанию. Обоснуйте её как требуемую доходность рискованного проекта или возьмите ключевую ставку плюс премию. Окупаемость "&amp;IF(ISNUMBER(PP_docx),FIXED(PP_docx,1)&amp;" мес. ("&amp;PP_docx_мес&amp;")","за горизонтом")&amp;" лежит у границы 12 месяцев; ЧДД "&amp;FIXED(ЧДД,0)&amp;" ₽ считается без остаточной стоимости. Где поменять: «Допущения», п. 8."</f>
        <v>Ставка дисконтирования 22% задана по умолчанию. Обоснуйте её как требуемую доходность рискованного проекта или возьмите ключевую ставку плюс премию. Окупаемость 11.0 мес. (Июл 2027) лежит у границы 12 месяцев; ЧДД 79,741 ₽ считается без остаточной стоимости. Где поменять: «Допущения», п. 8.</v>
      </c>
      <c r="E64" s="189"/>
      <c r="F64" s="189"/>
      <c r="G64" s="189"/>
      <c r="H64" s="189"/>
    </row>
    <row r="65" customFormat="false" ht="35.25" hidden="false" customHeight="true" outlineLevel="0" collapsed="false">
      <c r="B65" s="187" t="n">
        <v>12</v>
      </c>
      <c r="C65" s="188" t="s">
        <v>773</v>
      </c>
      <c r="D65" s="189" t="str">
        <f aca="false">"Комиссия "&amp;FIXED(Комиссия_стора*100,0)&amp;"% учтена ("&amp;FIXED(-ОПиУ!$F$16,0)&amp;" ₽ за 12 мес.). Платёжную схему нужно согласовать с правилами выбранного магазина: при блокировке покупок чистая прибыль была бы около "&amp;FIXED((KPI_ЧП-Выручка!$F$35*(1-Комиссия_стора-Ставка_УСН)),0)&amp;" ₽ (покупки дают "&amp;FIXED((1-Выручка!$F$37)*100,0)&amp;"% выручки). Где поменять: «Допущения», п. 3."</f>
        <v>Комиссия 15% учтена (37,230 ₽ за 12 мес.). Платёжную схему нужно согласовать с правилами выбранного магазина: при блокировке покупок чистая прибыль была бы около -85,442 ₽ (покупки дают 41% выручки). Где поменять: «Допущения», п. 3.</v>
      </c>
      <c r="E65" s="189"/>
      <c r="F65" s="189"/>
      <c r="G65" s="189"/>
      <c r="H65" s="189"/>
    </row>
    <row r="66" customFormat="false" ht="35.25" hidden="false" customHeight="true" outlineLevel="0" collapsed="false">
      <c r="B66" s="187" t="n">
        <v>13</v>
      </c>
      <c r="C66" s="188" t="s">
        <v>774</v>
      </c>
      <c r="D66" s="189" t="str">
        <f aca="false">"Допущения изменены относительно первой версии, поэтому "&amp;COUNTIF($G$23:$G$49,"расхождение")&amp;" расхождений в разделе 2 ожидаемы и ошибкой не являются. Для защиты опирайтесь на листы модели, а не на цифры docx."</f>
        <v>Допущения изменены относительно первой версии, поэтому 26 расхождений в разделе 2 ожидаемы и ошибкой не являются. Для защиты опирайтесь на листы модели, а не на цифры docx.</v>
      </c>
      <c r="E66" s="189"/>
      <c r="F66" s="189"/>
      <c r="G66" s="189"/>
      <c r="H66" s="189"/>
    </row>
    <row r="67" customFormat="false" ht="49.5" hidden="false" customHeight="true" outlineLevel="0" collapsed="false">
      <c r="B67" s="187" t="n">
        <v>14</v>
      </c>
      <c r="C67" s="188" t="s">
        <v>775</v>
      </c>
      <c r="D67" s="189" t="s">
        <v>776</v>
      </c>
      <c r="E67" s="189"/>
      <c r="F67" s="189"/>
      <c r="G67" s="189"/>
      <c r="H67" s="189"/>
    </row>
    <row r="68" customFormat="false" ht="63.75" hidden="false" customHeight="true" outlineLevel="0" collapsed="false">
      <c r="B68" s="187" t="n">
        <v>15</v>
      </c>
      <c r="C68" s="188" t="s">
        <v>777</v>
      </c>
      <c r="D68" s="189" t="s">
        <v>778</v>
      </c>
      <c r="E68" s="189"/>
      <c r="F68" s="189"/>
      <c r="G68" s="189"/>
      <c r="H68" s="189"/>
    </row>
    <row r="70" customFormat="false" ht="14.25" hidden="false" customHeight="false" outlineLevel="0" collapsed="false">
      <c r="C70" s="15" t="s">
        <v>779</v>
      </c>
    </row>
  </sheetData>
  <mergeCells count="17">
    <mergeCell ref="D4:H4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2:H62"/>
    <mergeCell ref="D63:H63"/>
    <mergeCell ref="D64:H64"/>
    <mergeCell ref="D65:H65"/>
    <mergeCell ref="D66:H66"/>
    <mergeCell ref="D67:H67"/>
    <mergeCell ref="D68:H68"/>
  </mergeCells>
  <conditionalFormatting sqref="D4">
    <cfRule type="expression" priority="2" aboveAverage="0" equalAverage="0" bottom="0" percent="0" rank="0" text="" dxfId="20">
      <formula>LEFT($D$4,3)="Все"</formula>
    </cfRule>
    <cfRule type="expression" priority="3" aboveAverage="0" equalAverage="0" bottom="0" percent="0" rank="0" text="" dxfId="21">
      <formula>LEFT($D$4,3)="Про"</formula>
    </cfRule>
    <cfRule type="expression" priority="4" aboveAverage="0" equalAverage="0" bottom="0" percent="0" rank="0" text="" dxfId="22">
      <formula>LEFT($D$4,3)="Ест"</formula>
    </cfRule>
  </conditionalFormatting>
  <conditionalFormatting sqref="E8:E18">
    <cfRule type="cellIs" priority="5" operator="equal" aboveAverage="0" equalAverage="0" bottom="0" percent="0" rank="0" text="" dxfId="23">
      <formula>"OK"</formula>
    </cfRule>
    <cfRule type="cellIs" priority="6" operator="equal" aboveAverage="0" equalAverage="0" bottom="0" percent="0" rank="0" text="" dxfId="24">
      <formula>"ОШИБКА"</formula>
    </cfRule>
    <cfRule type="cellIs" priority="7" operator="equal" aboveAverage="0" equalAverage="0" bottom="0" percent="0" rank="0" text="" dxfId="25">
      <formula>"ВНИМАНИЕ"</formula>
    </cfRule>
  </conditionalFormatting>
  <conditionalFormatting sqref="G23:G49">
    <cfRule type="cellIs" priority="8" operator="equal" aboveAverage="0" equalAverage="0" bottom="0" percent="0" rank="0" text="" dxfId="26">
      <formula>"совпадает"</formula>
    </cfRule>
    <cfRule type="cellIs" priority="9" operator="equal" aboveAverage="0" equalAverage="0" bottom="0" percent="0" rank="0" text="" dxfId="27">
      <formula>"≈ округление"</formula>
    </cfRule>
    <cfRule type="cellIs" priority="10" operator="equal" aboveAverage="0" equalAverage="0" bottom="0" percent="0" rank="0" text="" dxfId="28">
      <formula>"расхождение"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2026-09-29T09:43:59Z</dcterms:created>
  <dc:creator>openpyxl</dc:creator>
  <dc:description/>
  <dc:language>en-US</dc:language>
  <cp:lastModifiedBy/>
  <dcterms:modified xsi:type="dcterms:W3CDTF">2026-10-30T21:28:07Z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